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AAA Great Lakes\PROJECTS\FADM report JSW vs TATA\"/>
    </mc:Choice>
  </mc:AlternateContent>
  <xr:revisionPtr revIDLastSave="0" documentId="13_ncr:1_{3E42DD74-F40D-4C3D-832B-65139B88ED5C}" xr6:coauthVersionLast="47" xr6:coauthVersionMax="47" xr10:uidLastSave="{00000000-0000-0000-0000-000000000000}"/>
  <bookViews>
    <workbookView xWindow="-108" yWindow="-108" windowWidth="23256" windowHeight="12456" xr2:uid="{7F48D740-B680-46D2-98F3-7C1F8B4D20C3}"/>
  </bookViews>
  <sheets>
    <sheet name="TATA CFS" sheetId="2" r:id="rId1"/>
    <sheet name="TATA-Ratio Analysis" sheetId="5" r:id="rId2"/>
    <sheet name="TATA Summary" sheetId="8" r:id="rId3"/>
    <sheet name="JSW CFS" sheetId="4" r:id="rId4"/>
    <sheet name="JSW-Ratio Analysis" sheetId="6" r:id="rId5"/>
    <sheet name="JSW Summary" sheetId="11" r:id="rId6"/>
    <sheet name="Perfo Analysis" sheetId="7" r:id="rId7"/>
    <sheet name="Combined &amp; Final Summary" sheetId="12"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6" i="7" l="1"/>
  <c r="M6" i="7"/>
  <c r="M7" i="7"/>
  <c r="M8" i="7"/>
  <c r="K25" i="7"/>
  <c r="J25" i="7"/>
  <c r="N24" i="7"/>
  <c r="M24" i="7"/>
  <c r="L24" i="7"/>
  <c r="N23" i="7"/>
  <c r="M23" i="7"/>
  <c r="L23" i="7"/>
  <c r="N22" i="7"/>
  <c r="M22" i="7"/>
  <c r="L22" i="7"/>
  <c r="N21" i="7"/>
  <c r="M21" i="7"/>
  <c r="L21" i="7"/>
  <c r="K17" i="7"/>
  <c r="J17" i="7"/>
  <c r="N16" i="7"/>
  <c r="M16" i="7"/>
  <c r="L16" i="7"/>
  <c r="N15" i="7"/>
  <c r="M15" i="7"/>
  <c r="L15" i="7"/>
  <c r="N14" i="7"/>
  <c r="M14" i="7"/>
  <c r="L14" i="7"/>
  <c r="N13" i="7"/>
  <c r="M13" i="7"/>
  <c r="L13" i="7"/>
  <c r="K9" i="7"/>
  <c r="J9" i="7"/>
  <c r="N8" i="7"/>
  <c r="L8" i="7"/>
  <c r="N7" i="7"/>
  <c r="L7" i="7"/>
  <c r="L6" i="7"/>
  <c r="N5" i="7"/>
  <c r="M5" i="7"/>
  <c r="L5" i="7"/>
  <c r="C16" i="6"/>
  <c r="D16" i="6"/>
  <c r="E16" i="6"/>
  <c r="B16" i="6"/>
  <c r="C14" i="6"/>
  <c r="D14" i="6"/>
  <c r="E14" i="6"/>
  <c r="B14" i="6"/>
  <c r="C13" i="6"/>
  <c r="D13" i="6"/>
  <c r="E13" i="6"/>
  <c r="B13" i="6"/>
  <c r="C11" i="6"/>
  <c r="D11" i="6"/>
  <c r="E11" i="6"/>
  <c r="B11" i="6"/>
  <c r="C8" i="6"/>
  <c r="D8" i="6"/>
  <c r="E8" i="6"/>
  <c r="C9" i="6"/>
  <c r="D9" i="6"/>
  <c r="E9" i="6"/>
  <c r="B9" i="6"/>
  <c r="B8" i="6"/>
  <c r="C6" i="6"/>
  <c r="D6" i="6"/>
  <c r="E6" i="6"/>
  <c r="B6" i="6"/>
  <c r="C5" i="6"/>
  <c r="D5" i="6"/>
  <c r="E5" i="6"/>
  <c r="B5" i="6"/>
  <c r="C4" i="6"/>
  <c r="D4" i="6"/>
  <c r="E4" i="6"/>
  <c r="B4" i="6"/>
  <c r="C16" i="5"/>
  <c r="D16" i="5"/>
  <c r="E16" i="5"/>
  <c r="B16" i="5"/>
  <c r="C13" i="5"/>
  <c r="D13" i="5"/>
  <c r="E13" i="5"/>
  <c r="B13" i="5"/>
  <c r="C14" i="5"/>
  <c r="D14" i="5"/>
  <c r="E14" i="5"/>
  <c r="B14" i="5"/>
  <c r="C11" i="5"/>
  <c r="D11" i="5"/>
  <c r="E11" i="5"/>
  <c r="B11" i="5"/>
  <c r="C9" i="5"/>
  <c r="D9" i="5"/>
  <c r="E9" i="5"/>
  <c r="B9" i="5"/>
  <c r="C8" i="5"/>
  <c r="D8" i="5"/>
  <c r="E8" i="5"/>
  <c r="B8" i="5"/>
  <c r="C6" i="5"/>
  <c r="D6" i="5"/>
  <c r="E6" i="5"/>
  <c r="B6" i="5"/>
  <c r="C5" i="5"/>
  <c r="D5" i="5"/>
  <c r="E5" i="5"/>
  <c r="B5" i="5"/>
  <c r="C4" i="5"/>
  <c r="D4" i="5"/>
  <c r="E4" i="5"/>
  <c r="B4" i="5"/>
  <c r="L25" i="7" l="1"/>
  <c r="L17" i="7"/>
  <c r="L9" i="7"/>
</calcChain>
</file>

<file path=xl/sharedStrings.xml><?xml version="1.0" encoding="utf-8"?>
<sst xmlns="http://schemas.openxmlformats.org/spreadsheetml/2006/main" count="196" uniqueCount="91">
  <si>
    <t>In Rs. Cr.</t>
  </si>
  <si>
    <t>Mar'23</t>
  </si>
  <si>
    <t>Mar'24</t>
  </si>
  <si>
    <t>Mar'25</t>
  </si>
  <si>
    <t>Mar'26</t>
  </si>
  <si>
    <t> Cash from Operating Activity</t>
  </si>
  <si>
    <t>Profit Before Tax</t>
  </si>
  <si>
    <t>Adjustments</t>
  </si>
  <si>
    <t>OCF Before Working Capital</t>
  </si>
  <si>
    <t>Working Capital Changes</t>
  </si>
  <si>
    <t>Taxes Paid</t>
  </si>
  <si>
    <t> Cash from Investing Activity</t>
  </si>
  <si>
    <t> Cash from Financing Activity</t>
  </si>
  <si>
    <t>Net Cash Flow</t>
  </si>
  <si>
    <t>Opening Cash &amp; Cash Equivalents</t>
  </si>
  <si>
    <t>Effect of FX</t>
  </si>
  <si>
    <t>Closing Cash &amp; Cash Equivalents</t>
  </si>
  <si>
    <t>Net Capex (est)</t>
  </si>
  <si>
    <t>Free Cash Flow (est)</t>
  </si>
  <si>
    <t>—</t>
  </si>
  <si>
    <t> Net Fixed Assets Purchased</t>
  </si>
  <si>
    <t>Fixed Assets Purchased</t>
  </si>
  <si>
    <t>Fixed Assets Sold</t>
  </si>
  <si>
    <t>Investment Purchased</t>
  </si>
  <si>
    <t>Investment Sold</t>
  </si>
  <si>
    <t>Interest Recieved</t>
  </si>
  <si>
    <t>Dividends Recieved</t>
  </si>
  <si>
    <t>Subsidiary Investments</t>
  </si>
  <si>
    <t>Proceeds From Shares</t>
  </si>
  <si>
    <t> Net Long Term Borrowings</t>
  </si>
  <si>
    <t>Proceeds From Borrowings</t>
  </si>
  <si>
    <t>Repayment From Borrowings</t>
  </si>
  <si>
    <t>Interest Paid</t>
  </si>
  <si>
    <t>Dividend Paid</t>
  </si>
  <si>
    <t>OCF to PBT Ratio</t>
  </si>
  <si>
    <t>OCF to Capex Ratio</t>
  </si>
  <si>
    <t>OCF to Net Cash Flow Ratio</t>
  </si>
  <si>
    <t>FCF Margin (FCF/OCF %)</t>
  </si>
  <si>
    <t>Capex as % of OCF</t>
  </si>
  <si>
    <t>OCF to Closing Cash Ratio</t>
  </si>
  <si>
    <t>Operating to Investing Activity Ratio</t>
  </si>
  <si>
    <t>Operating to Financing Activity Ratio</t>
  </si>
  <si>
    <t>Capital Allocation Ratio (Capex+Div)/OCF</t>
  </si>
  <si>
    <t>Formula</t>
  </si>
  <si>
    <t xml:space="preserve">OCF ÷ PBT (From TATA CFS rows 2,3) </t>
  </si>
  <si>
    <t xml:space="preserve">OCF ÷ Capex (From TATA CFS rows 2,28) </t>
  </si>
  <si>
    <t>OCF ÷ Net Cash Flow (From TATA CFS rows 2,24)</t>
  </si>
  <si>
    <t>FCF ÷ OCF × 100 (From TATA CFS rows 29,2) %</t>
  </si>
  <si>
    <t>Capex ÷ OCF × 100 (From TATA CFS rows 28,2) %</t>
  </si>
  <si>
    <t>OCF ÷ (Investing) - Times (From TATA CFS rows 2,8)</t>
  </si>
  <si>
    <t>OCF ÷ (Financing) - (From TATA CFS rows 2,17)</t>
  </si>
  <si>
    <t xml:space="preserve">(Capex + Div) ÷ OCF (From TATA CFS rows 28,2, CFS analysis row 15) </t>
  </si>
  <si>
    <t xml:space="preserve">OCF ÷ Closing Cash (From TATA CFS rows 2,27) </t>
  </si>
  <si>
    <t xml:space="preserve">(Capex + Div) ÷ OCF (From JSW CFS rows 28,2, CFS analysis row 15) </t>
  </si>
  <si>
    <t>OCF ÷ (Investing) - Times (From JSW CFS rows 2,8)</t>
  </si>
  <si>
    <t>OCF ÷ (Financing) - (From JSW CFS rows 2,17)</t>
  </si>
  <si>
    <t xml:space="preserve">OCF ÷ Closing Cash (From JSW CFS rows 2,27) </t>
  </si>
  <si>
    <t>Capex ÷ OCF × 100 (From JSW CFS rows 28,2) %</t>
  </si>
  <si>
    <t>FCF ÷ OCF × 100 (From JSW CFS rows 29,2) %</t>
  </si>
  <si>
    <t>OCF ÷ Net Cash Flow (From JSW CFS rows 2,24)</t>
  </si>
  <si>
    <t xml:space="preserve">OCF ÷ Capex (From JSW CFS rows 2,28) </t>
  </si>
  <si>
    <t xml:space="preserve">OCF ÷ PBT (From JSW CFS rows 2,3) </t>
  </si>
  <si>
    <t>Operating Cash Flow</t>
  </si>
  <si>
    <t>Investing Activity</t>
  </si>
  <si>
    <t>Financing Activity</t>
  </si>
  <si>
    <t>Free Cash Flow</t>
  </si>
  <si>
    <t>Capital Expenditure</t>
  </si>
  <si>
    <t>Closing Cash</t>
  </si>
  <si>
    <t>Particulars</t>
  </si>
  <si>
    <t>TATA &amp; JSW - 3-YEAR CASH FLOW PERFORMANCE ANALYSIS</t>
  </si>
  <si>
    <t>JSW CONSOLIDATED 3-YEAR PERFORMANCE (FY 2024-26)</t>
  </si>
  <si>
    <t>TATA CONSOLIDATED 3-YEAR PERFORMANCE (FY 2024-26)</t>
  </si>
  <si>
    <t>Operating Cash Flow (Rs. Cr.)</t>
  </si>
  <si>
    <t>Free Cash Flow (Rs. Cr.)</t>
  </si>
  <si>
    <t>Capital Expenditure (Rs. Cr.)</t>
  </si>
  <si>
    <t>Closing Cash (Rs. Cr.)</t>
  </si>
  <si>
    <t>OCF to Capex Ratio (Times)</t>
  </si>
  <si>
    <t>TATA</t>
  </si>
  <si>
    <t>JSW</t>
  </si>
  <si>
    <t>Difference</t>
  </si>
  <si>
    <t>TATA %</t>
  </si>
  <si>
    <t>JSW%</t>
  </si>
  <si>
    <t>FY 2025-26 (MAR'26) COMPARISON</t>
  </si>
  <si>
    <t>FY 2024-25 (MAR'25) COMPARISON</t>
  </si>
  <si>
    <t>FY 2023-24 (MAR'26) COMPARISON</t>
  </si>
  <si>
    <t>TATA VS JSW - COMPARATIVE CASH FLOW ANALYSIS</t>
  </si>
  <si>
    <t>JSW CASH FLOW STATEMENT ANALYSIS - KEY RATIOS</t>
  </si>
  <si>
    <t>TATA CASH FLOW STATEMENT ANALYSIS - KEY RATIOS</t>
  </si>
  <si>
    <t>TATA STEELS</t>
  </si>
  <si>
    <t xml:space="preserve"> </t>
  </si>
  <si>
    <t>JSW STEELS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</si>
</sst>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13" x14ac:knownFonts="1">
    <font>
      <sz val="11"/>
      <color theme="1"/>
      <name val="Aptos Narrow"/>
      <family val="2"/>
      <scheme val="minor"/>
    </font>
    <font>
      <b/>
      <sz val="11"/>
      <color theme="1"/>
      <name val="Aptos Narrow"/>
      <family val="2"/>
      <scheme val="minor"/>
    </font>
    <font>
      <b/>
      <sz val="7.55"/>
      <color rgb="FF8B8B8B"/>
      <name val="Arial"/>
      <family val="2"/>
    </font>
    <font>
      <sz val="9.25"/>
      <color rgb="FF000000"/>
      <name val="Arial"/>
      <family val="2"/>
    </font>
    <font>
      <sz val="9.25"/>
      <color rgb="FF000000"/>
      <name val="Arial"/>
      <family val="2"/>
    </font>
    <font>
      <sz val="9.25"/>
      <color rgb="FF000000"/>
      <name val="Arial"/>
      <family val="2"/>
    </font>
    <font>
      <sz val="9.25"/>
      <color rgb="FF8B8B8B"/>
      <name val="Arial"/>
      <family val="2"/>
    </font>
    <font>
      <sz val="9.25"/>
      <color rgb="FF8B8B8B"/>
      <name val="Arial"/>
      <family val="2"/>
    </font>
    <font>
      <b/>
      <sz val="9.25"/>
      <color rgb="FF000000"/>
      <name val="Arial"/>
      <family val="2"/>
    </font>
    <font>
      <b/>
      <sz val="11"/>
      <name val="Calibri"/>
      <family val="2"/>
    </font>
    <font>
      <sz val="11"/>
      <color rgb="FF000000"/>
      <name val="Aptos Narrow"/>
      <family val="2"/>
    </font>
    <font>
      <b/>
      <sz val="11"/>
      <name val="Aptos Narrow"/>
      <family val="2"/>
      <scheme val="minor"/>
    </font>
    <font>
      <b/>
      <sz val="11"/>
      <color rgb="FF000000"/>
      <name val="Aptos Narrow"/>
      <family val="2"/>
    </font>
  </fonts>
  <fills count="8">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theme="5" tint="0.39997558519241921"/>
        <bgColor indexed="64"/>
      </patternFill>
    </fill>
    <fill>
      <patternFill patternType="solid">
        <fgColor theme="5" tint="0.39997558519241921"/>
        <bgColor rgb="FF366092"/>
      </patternFill>
    </fill>
    <fill>
      <patternFill patternType="solid">
        <fgColor theme="9" tint="0.39997558519241921"/>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
    <xf numFmtId="0" fontId="0" fillId="0" borderId="0"/>
  </cellStyleXfs>
  <cellXfs count="40">
    <xf numFmtId="0" fontId="0" fillId="0" borderId="0" xfId="0"/>
    <xf numFmtId="3" fontId="0" fillId="0" borderId="0" xfId="0" applyNumberFormat="1"/>
    <xf numFmtId="0" fontId="2" fillId="2" borderId="1" xfId="0"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3" fontId="5" fillId="2" borderId="1" xfId="0" applyNumberFormat="1" applyFont="1" applyFill="1" applyBorder="1" applyAlignment="1">
      <alignment horizontal="right" vertical="center" wrapText="1"/>
    </xf>
    <xf numFmtId="0" fontId="5" fillId="2" borderId="1" xfId="0" applyFont="1" applyFill="1" applyBorder="1" applyAlignment="1">
      <alignment horizontal="right" vertical="center" wrapText="1"/>
    </xf>
    <xf numFmtId="0" fontId="3" fillId="2" borderId="1" xfId="0" applyFont="1" applyFill="1" applyBorder="1" applyAlignment="1">
      <alignment horizontal="right" vertical="center" wrapText="1"/>
    </xf>
    <xf numFmtId="3" fontId="4" fillId="3" borderId="1" xfId="0" applyNumberFormat="1" applyFont="1" applyFill="1" applyBorder="1" applyAlignment="1">
      <alignment horizontal="right" vertical="center" wrapText="1"/>
    </xf>
    <xf numFmtId="0" fontId="0" fillId="0" borderId="1" xfId="0" applyBorder="1"/>
    <xf numFmtId="0" fontId="2" fillId="2" borderId="1" xfId="0" applyFont="1" applyFill="1" applyBorder="1" applyAlignment="1">
      <alignment horizontal="center" vertical="center" wrapText="1"/>
    </xf>
    <xf numFmtId="0" fontId="4" fillId="2" borderId="1" xfId="0" applyFont="1" applyFill="1" applyBorder="1" applyAlignment="1">
      <alignment horizontal="left" vertical="center" wrapText="1" indent="1"/>
    </xf>
    <xf numFmtId="0" fontId="3" fillId="2" borderId="1" xfId="0" applyFont="1" applyFill="1" applyBorder="1" applyAlignment="1">
      <alignment horizontal="left" vertical="center" wrapText="1" indent="1"/>
    </xf>
    <xf numFmtId="0" fontId="4" fillId="3" borderId="1" xfId="0" applyFont="1" applyFill="1" applyBorder="1" applyAlignment="1">
      <alignment horizontal="left" vertical="center" wrapText="1" indent="1"/>
    </xf>
    <xf numFmtId="0" fontId="6" fillId="2" borderId="1" xfId="0" applyFont="1" applyFill="1" applyBorder="1" applyAlignment="1">
      <alignment horizontal="right" vertical="center" wrapText="1"/>
    </xf>
    <xf numFmtId="0" fontId="4" fillId="4" borderId="1" xfId="0" applyFont="1" applyFill="1" applyBorder="1" applyAlignment="1">
      <alignment horizontal="left" vertical="center" wrapText="1" indent="1"/>
    </xf>
    <xf numFmtId="0" fontId="8" fillId="2" borderId="1" xfId="0" applyFont="1" applyFill="1" applyBorder="1" applyAlignment="1">
      <alignment horizontal="left" vertical="center" wrapText="1" indent="1"/>
    </xf>
    <xf numFmtId="3" fontId="8" fillId="2" borderId="1" xfId="0" applyNumberFormat="1" applyFont="1" applyFill="1" applyBorder="1" applyAlignment="1">
      <alignment horizontal="right" vertical="center" wrapText="1"/>
    </xf>
    <xf numFmtId="0" fontId="7" fillId="2" borderId="1" xfId="0" applyFont="1" applyFill="1" applyBorder="1" applyAlignment="1">
      <alignment horizontal="right" vertical="center" wrapText="1"/>
    </xf>
    <xf numFmtId="3" fontId="3" fillId="3" borderId="1" xfId="0" applyNumberFormat="1" applyFont="1" applyFill="1" applyBorder="1" applyAlignment="1">
      <alignment horizontal="right" vertical="center" wrapText="1"/>
    </xf>
    <xf numFmtId="2" fontId="0" fillId="0" borderId="0" xfId="0" applyNumberFormat="1"/>
    <xf numFmtId="0" fontId="9" fillId="5" borderId="1" xfId="0" applyFont="1" applyFill="1" applyBorder="1"/>
    <xf numFmtId="2" fontId="0" fillId="0" borderId="1" xfId="0" applyNumberFormat="1" applyBorder="1"/>
    <xf numFmtId="164" fontId="0" fillId="0" borderId="1" xfId="0" applyNumberFormat="1" applyBorder="1"/>
    <xf numFmtId="164" fontId="10" fillId="2" borderId="1" xfId="0" applyNumberFormat="1" applyFont="1" applyFill="1" applyBorder="1" applyAlignment="1">
      <alignment vertical="center" wrapText="1"/>
    </xf>
    <xf numFmtId="0" fontId="3" fillId="2" borderId="0" xfId="0" applyFont="1" applyFill="1" applyAlignment="1">
      <alignment horizontal="left" vertical="center" wrapText="1" indent="1"/>
    </xf>
    <xf numFmtId="3" fontId="5" fillId="2" borderId="0" xfId="0" applyNumberFormat="1" applyFont="1" applyFill="1" applyAlignment="1">
      <alignment horizontal="right" vertical="center" wrapText="1"/>
    </xf>
    <xf numFmtId="0" fontId="11" fillId="4" borderId="1" xfId="0" applyFont="1" applyFill="1" applyBorder="1"/>
    <xf numFmtId="0" fontId="11" fillId="5" borderId="1" xfId="0" applyFont="1" applyFill="1" applyBorder="1"/>
    <xf numFmtId="2" fontId="11" fillId="5" borderId="1" xfId="0" applyNumberFormat="1" applyFont="1" applyFill="1" applyBorder="1"/>
    <xf numFmtId="0" fontId="0" fillId="7" borderId="3" xfId="0" applyFill="1" applyBorder="1" applyAlignment="1">
      <alignment horizontal="center"/>
    </xf>
    <xf numFmtId="0" fontId="0" fillId="7" borderId="2" xfId="0" applyFill="1" applyBorder="1" applyAlignment="1">
      <alignment horizontal="center"/>
    </xf>
    <xf numFmtId="0" fontId="1" fillId="4" borderId="1" xfId="0" applyFont="1" applyFill="1" applyBorder="1"/>
    <xf numFmtId="0" fontId="1" fillId="0" borderId="1" xfId="0" applyFont="1" applyBorder="1"/>
    <xf numFmtId="2" fontId="1" fillId="0" borderId="1" xfId="0" applyNumberFormat="1" applyFont="1" applyBorder="1"/>
    <xf numFmtId="0" fontId="12" fillId="2" borderId="1" xfId="0" applyFont="1" applyFill="1" applyBorder="1" applyAlignment="1">
      <alignment vertical="center" wrapText="1"/>
    </xf>
    <xf numFmtId="0" fontId="2" fillId="2" borderId="0" xfId="0" applyFont="1" applyFill="1" applyAlignment="1">
      <alignment horizontal="right" vertical="center" wrapText="1"/>
    </xf>
    <xf numFmtId="0" fontId="1" fillId="6" borderId="0" xfId="0" applyFont="1" applyFill="1"/>
    <xf numFmtId="0" fontId="1" fillId="6" borderId="4" xfId="0" applyFont="1" applyFill="1" applyBorder="1" applyAlignment="1">
      <alignment horizontal="center"/>
    </xf>
    <xf numFmtId="0" fontId="1" fillId="6" borderId="0" xfId="0" applyFont="1" applyFill="1" applyAlignment="1">
      <alignment horizontal="center"/>
    </xf>
    <xf numFmtId="0" fontId="0" fillId="7" borderId="4"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22</xdr:col>
      <xdr:colOff>601980</xdr:colOff>
      <xdr:row>33</xdr:row>
      <xdr:rowOff>15240</xdr:rowOff>
    </xdr:to>
    <xdr:sp macro="" textlink="">
      <xdr:nvSpPr>
        <xdr:cNvPr id="2" name="TextBox 1">
          <a:extLst>
            <a:ext uri="{FF2B5EF4-FFF2-40B4-BE49-F238E27FC236}">
              <a16:creationId xmlns:a16="http://schemas.microsoft.com/office/drawing/2014/main" id="{A18D7B4D-2F70-3CFC-2AFF-0C27BADF9F0B}"/>
            </a:ext>
          </a:extLst>
        </xdr:cNvPr>
        <xdr:cNvSpPr txBox="1"/>
      </xdr:nvSpPr>
      <xdr:spPr>
        <a:xfrm>
          <a:off x="0" y="7620"/>
          <a:ext cx="14013180" cy="6042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rgbClr val="FF0000"/>
              </a:solidFill>
            </a:rPr>
            <a:t>TATA STEELS:</a:t>
          </a:r>
          <a:br>
            <a:rPr lang="en-IN" b="1"/>
          </a:br>
          <a:r>
            <a:rPr lang="en-IN" b="1"/>
            <a:t>OCF to PBT Ratio</a:t>
          </a:r>
        </a:p>
        <a:p>
          <a:r>
            <a:rPr lang="en-IN"/>
            <a:t>This ratio measures how well the company's accounting profits before taxes translate into actual cash from operations. In Mar'23, it stood at 1.19, spiked drastically to 17.70 in Mar'24, and then normalized to 2.75 in Mar'25 and 2.20 in Mar'26. The extreme spike in Mar'24 indicates a massive decoupling where operating cash far exceeded accounting profit, though the subsequent years show a much more stable and healthy cash generation relative to profitability.</a:t>
          </a:r>
        </a:p>
        <a:p>
          <a:r>
            <a:rPr lang="en-IN" b="1"/>
            <a:t>OCF to Capex Ratio</a:t>
          </a:r>
        </a:p>
        <a:p>
          <a:r>
            <a:rPr lang="en-IN"/>
            <a:t>This metric shows the company's ability to cover its capital expenditures using the cash generated from its core daily operations. The ratio started at 1.57 in Mar'23, dipped slightly to 1.14 in Mar'24, rose back to 1.53 in Mar'25, and then improved significantly to 2.56 in Mar'26. Because the value stayed consistently above 1.0 across all four years, it proves the company successfully generated enough internal cash to completely fund its infrastructure and capital investments.</a:t>
          </a:r>
        </a:p>
        <a:p>
          <a:r>
            <a:rPr lang="en-IN" b="1"/>
            <a:t>OCF to Net Cash Flow Ratio</a:t>
          </a:r>
        </a:p>
        <a:p>
          <a:r>
            <a:rPr lang="en-IN"/>
            <a:t>This ratio compares the cash coming from core operations against the final net change in the company's total cash balance. It sits at 5.45 in Mar'23 and 4.02 in Mar'24, climbs to 9.90 in Mar'25, and then skyrockets up to 28.55 in Mar'26. The high and rising numbers, especially the massive jump in the final year, show that core operating cash is significantly larger than the final net cash flow, implying heavy outflows are occurring elsewhere in investing or financing activities.</a:t>
          </a:r>
        </a:p>
        <a:p>
          <a:r>
            <a:rPr lang="en-IN" b="1"/>
            <a:t>FCF Margin (FCF/OCF %)</a:t>
          </a:r>
        </a:p>
        <a:p>
          <a:r>
            <a:rPr lang="en-IN"/>
            <a:t>This percentage represents the proportion of operating cash flow that remains as free cash after paying for all capital expenditures. It started at 36.29% in Mar'23, dropped sharply to 12.65% in Mar'24, recovered to 34.49% in Mar'25, and reached its highest point at 60.94% in Mar'26. The trend demonstrates that by the final year, the company became highly efficient, keeping nearly two-thirds of its operating cash as free cash flow.</a:t>
          </a:r>
        </a:p>
        <a:p>
          <a:r>
            <a:rPr lang="en-IN" b="1"/>
            <a:t>Capex as % of OCF</a:t>
          </a:r>
        </a:p>
        <a:p>
          <a:r>
            <a:rPr lang="en-IN"/>
            <a:t>This metric indicates what percentage of the company's operating cash is being swallowed up by capital investments. It required 63.71% of cash in Mar'23, peaked heavily at 87.34% in Mar'24, fell to 65.51% in Mar'25, and dropped down to 39.06% by Mar'26. This mirrors the free cash flow trend, showing that a much smaller share of operational cash was eaten up by asset purchases in the final year compared to the heavy investment phase seen in Mar'24.</a:t>
          </a:r>
        </a:p>
        <a:p>
          <a:r>
            <a:rPr lang="en-IN" b="1"/>
            <a:t>OCF to Closing Cash Ratio</a:t>
          </a:r>
        </a:p>
        <a:p>
          <a:r>
            <a:rPr lang="en-IN"/>
            <a:t>This ratio compares the cash generated from daily operations against the total cash balance left in the bank at the end of the financial year. It shows a steady upward trajectory, moving from 1.79 in Mar'23 to 2.87 in Mar'24, adjusting to 2.41 in Mar'25, and peaking at 3.95 in Mar'26. The increasing ratio indicates that the company's annual operational cash generation is growing much faster than its actual year-end cash reserves.</a:t>
          </a:r>
        </a:p>
        <a:p>
          <a:r>
            <a:rPr lang="en-IN" b="1"/>
            <a:t>Operating to Investing Activity Ratio</a:t>
          </a:r>
        </a:p>
        <a:p>
          <a:r>
            <a:rPr lang="en-IN"/>
            <a:t>This ratio illustrates the relationship between cash inflows from operations and the cash movements from investing activities. The numbers show a continuous upward trend over the period, moving steadily from 1.16 in Mar'23 to 1.42 in Mar'24, 1.68 in Mar'25, and reaching 2.35 in Mar'26. This consistent climb means that the company’s core business cash generation has become increasingly dominant relative to the cash used or gained from its investments.</a:t>
          </a:r>
        </a:p>
        <a:p>
          <a:r>
            <a:rPr lang="en-IN" b="1"/>
            <a:t>Operating to Financing Activity Ratio</a:t>
          </a:r>
        </a:p>
        <a:p>
          <a:r>
            <a:rPr lang="en-IN"/>
            <a:t>This metric measures the scale of cash from operations compared against the cash flows tied to financing activities like debt and equity. The ratio fluctuates over the timeline, starting at 3.11 in Mar'23, dropping to 1.83 in Mar'24, bouncing back to 3.30 in Mar'25, and then falling to its lowest point of 1.64 in Mar'26. These variations reveal shifts in the company's funding activities, with financing flows becoming noticeably larger relative to operating cash in the final year.</a:t>
          </a:r>
        </a:p>
        <a:p>
          <a:r>
            <a:rPr lang="en-IN" b="1"/>
            <a:t>Capital Allocation Ratio (Capex+Div)/OCF</a:t>
          </a:r>
        </a:p>
        <a:p>
          <a:r>
            <a:rPr lang="en-IN"/>
            <a:t>This final ratio tracks the total proportion of operating cash flow used to pay for both capital expenditures and shareholder dividends. It stood at 0.93 in Mar'23, overshot to 1.09 in Mar'24, dropped to 0.85 in Mar'25, and finished much lower at 0.52 in Mar'26. The Mar'24 spike shows a year where spending on capex and dividends exceeded total operating cash, whereas the low 0.52 in Mar'26 highlights a highly comfortable position where only about half of the operating cash was needed for these commitments.</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xdr:rowOff>
    </xdr:from>
    <xdr:to>
      <xdr:col>22</xdr:col>
      <xdr:colOff>601980</xdr:colOff>
      <xdr:row>31</xdr:row>
      <xdr:rowOff>129540</xdr:rowOff>
    </xdr:to>
    <xdr:sp macro="" textlink="">
      <xdr:nvSpPr>
        <xdr:cNvPr id="2" name="TextBox 1">
          <a:extLst>
            <a:ext uri="{FF2B5EF4-FFF2-40B4-BE49-F238E27FC236}">
              <a16:creationId xmlns:a16="http://schemas.microsoft.com/office/drawing/2014/main" id="{D7C6533F-3C5E-8709-C8BD-8969B453B47F}"/>
            </a:ext>
          </a:extLst>
        </xdr:cNvPr>
        <xdr:cNvSpPr txBox="1"/>
      </xdr:nvSpPr>
      <xdr:spPr>
        <a:xfrm>
          <a:off x="0" y="7620"/>
          <a:ext cx="14013180" cy="579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rgbClr val="FF0000"/>
              </a:solidFill>
            </a:rPr>
            <a:t>JSW STEELS:</a:t>
          </a:r>
        </a:p>
        <a:p>
          <a:r>
            <a:rPr lang="en-IN" b="1"/>
            <a:t>OCF to PBT Ratio</a:t>
          </a:r>
        </a:p>
        <a:p>
          <a:r>
            <a:rPr lang="en-IN"/>
            <a:t>This ratio evaluates how efficiently the company's accounting profits are converted into hard operating cash. It starts strong at 4.12 in Mar'23, drops sharply to 0.90 in Mar'24, bounces back up to 4.12 in Mar'25, and falls again to 0.86 in Mar'26. These extreme oscillations indicate a highly volatile relationship between book profits and actual cash collection, with two of the years showing operating cash failing to match pre-tax accounting profits.</a:t>
          </a:r>
        </a:p>
        <a:p>
          <a:r>
            <a:rPr lang="en-IN" b="1"/>
            <a:t>OCF to Capex Ratio</a:t>
          </a:r>
        </a:p>
        <a:p>
          <a:r>
            <a:rPr lang="en-IN"/>
            <a:t>This metric tracks whether the company generates enough internal core cash to sustain its capital investments. The ratio remains above a comfortable baseline in Mar'23 at 1.59, but falls below the safety line to 0.78 in Mar'24, before recovering well to 1.65 and 1.73 in Mar'25 and Mar'26 respectively. The drop in Mar'24 shows a temporary period where core operations could not self-fund capital expenditures, requiring external funding sources, which was successfully corrected in the following two years.</a:t>
          </a:r>
        </a:p>
        <a:p>
          <a:r>
            <a:rPr lang="en-IN" b="1"/>
            <a:t>OCF to Net Cash Flow Ratio</a:t>
          </a:r>
        </a:p>
        <a:p>
          <a:r>
            <a:rPr lang="en-IN"/>
            <a:t>This ratio compares the cash from day-to-day operations against the final net addition or subtraction to the company's cash balance. It shifts erratically from 3.52 in Mar'23 down to 1.60 in Mar'24, spikes to 5.74 in Mar'25, and drops heavily to a low of 0.91 in Mar'26. The extreme drop below 1.00 in the final year indicates that the overall net cash flow ended up larger than the operating cash flow itself, meaning non-operating inflows heavily influenced the final cash balance.</a:t>
          </a:r>
        </a:p>
        <a:p>
          <a:r>
            <a:rPr lang="en-IN" b="1"/>
            <a:t>FCF Margin (FCF/OCF %)</a:t>
          </a:r>
        </a:p>
        <a:p>
          <a:r>
            <a:rPr lang="en-IN"/>
            <a:t>This percentage indicates how much of the company's operating cash flow is left over as free cash after accounting for all capital expenditures. The margin drops from 37.24% in Mar'23 to 28.72% in Mar'24, before climbing steadily back up to 39.54% in Mar'25 and reaching its peak at 42.18% in Mar'26. Aside from the dip in Mar'24, the company maintained a solid trajectory, ensuring that nearly half of its generated operational cash turned into free cash by the end of the period.</a:t>
          </a:r>
        </a:p>
        <a:p>
          <a:r>
            <a:rPr lang="en-IN" b="1"/>
            <a:t>Capex as % of OCF</a:t>
          </a:r>
        </a:p>
        <a:p>
          <a:r>
            <a:rPr lang="en-IN"/>
            <a:t>This metric reveals what slice of operating cash flow is consumed by capital investments. It stands at 62.76% in Mar'23, surges massively to 128.72% in Mar'24, and then declines to 60.46% in Mar'25 and 57.82% in Mar'26. The massive spike in Mar'24 perfectly clarifies the dip in the FCF margin, proving that capital spending outpaced total operating cash flow for that specific year before returning to a sustainable sub-60% level.</a:t>
          </a:r>
        </a:p>
        <a:p>
          <a:r>
            <a:rPr lang="en-IN" b="1"/>
            <a:t>OCF to Closing Cash Ratio</a:t>
          </a:r>
        </a:p>
        <a:p>
          <a:r>
            <a:rPr lang="en-IN"/>
            <a:t>This ratio measures the annual volume of operating cash generated relative to the ultimate cash balance remaining in the bank at year-end. The ratio holds steady at 1.51 in Mar'23 and 1.50 in Mar'24, rises slightly to 1.79 in Mar'25, and then drops significantly to 0.64 in Mar'26. The sharp drop in the final year signals that the company's year-end cash balance grew substantially larger than the actual cash generated by operations during that same year.</a:t>
          </a:r>
        </a:p>
        <a:p>
          <a:r>
            <a:rPr lang="en-IN" b="1"/>
            <a:t>Operating to Investing Activity Ratio</a:t>
          </a:r>
        </a:p>
        <a:p>
          <a:r>
            <a:rPr lang="en-IN"/>
            <a:t>This metric establishes the relationship between operational cash generation and the net cash flows connected to investing activities. It registers at 2.18 in Mar'23, drops below parity to 0.83 in Mar'24, and then hovers at 1.23 in Mar'25 and 1.35 in Mar'26. The dip below 1.00 in Mar'24 marks a phase where investing outflows outstripped operational cash inflows, whereas the other years show a dominant operating cash flow.</a:t>
          </a:r>
        </a:p>
        <a:p>
          <a:r>
            <a:rPr lang="en-IN" b="1"/>
            <a:t>Operating to Financing Activity Ratio</a:t>
          </a:r>
        </a:p>
        <a:p>
          <a:r>
            <a:rPr lang="en-IN"/>
            <a:t>This ratio reflects how operating cash flow stacks up against the cash flows driving financing activities like debt repayments or equity changes. It sits at 3.90 in Mar'23, drops to 2.41 in Mar'24, expands exponentially to an outlier of 79.77 in Mar'25, and then drops back down to 1.56 in Mar'26. The massive spike in Mar'25 indicates that financing activity during that specific year dwindled to almost near-zero compared to the size of the operating cash flow.</a:t>
          </a:r>
        </a:p>
        <a:p>
          <a:r>
            <a:rPr lang="en-IN" b="1"/>
            <a:t>Capital Allocation Ratio (Capex+Div)/OCF</a:t>
          </a:r>
        </a:p>
        <a:p>
          <a:r>
            <a:rPr lang="en-IN"/>
            <a:t>This final ratio details the combined demand of capital expenditures and dividends on the total operating cash flow. It registers at 0.81 in Mar'23, breaches the safety threshold at 1.36 in Mar'24, and drops back down to comfortable margins of 0.69 in Mar'25 and 0.61 in Mar'26. The 1.36 reading in Mar'24 confirms that the company had to dip into external financing or reserves to cover its combined capex and dividend commitments, though it successfully righted the ship in the final two years.</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22860</xdr:rowOff>
    </xdr:from>
    <xdr:to>
      <xdr:col>19</xdr:col>
      <xdr:colOff>411480</xdr:colOff>
      <xdr:row>27</xdr:row>
      <xdr:rowOff>7620</xdr:rowOff>
    </xdr:to>
    <xdr:sp macro="" textlink="">
      <xdr:nvSpPr>
        <xdr:cNvPr id="2" name="TextBox 1">
          <a:extLst>
            <a:ext uri="{FF2B5EF4-FFF2-40B4-BE49-F238E27FC236}">
              <a16:creationId xmlns:a16="http://schemas.microsoft.com/office/drawing/2014/main" id="{397A3922-38D7-8EB3-5186-9269577D3D1B}"/>
            </a:ext>
          </a:extLst>
        </xdr:cNvPr>
        <xdr:cNvSpPr txBox="1"/>
      </xdr:nvSpPr>
      <xdr:spPr>
        <a:xfrm>
          <a:off x="0" y="22860"/>
          <a:ext cx="11993880" cy="4922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200" b="1" u="sng">
              <a:solidFill>
                <a:srgbClr val="FF0000"/>
              </a:solidFill>
              <a:effectLst/>
              <a:latin typeface="Times New Roman" panose="02020603050405020304" pitchFamily="18" charset="0"/>
              <a:ea typeface="+mn-ea"/>
              <a:cs typeface="Times New Roman" panose="02020603050405020304" pitchFamily="18" charset="0"/>
            </a:rPr>
            <a:t>Tata vs. JSW: 3-Year Cash Flow Comparison Summary:</a:t>
          </a:r>
        </a:p>
        <a:p>
          <a:r>
            <a:rPr lang="en-IN"/>
            <a:t>Tata and JSW present two completely different strategies when you look at their cash flow numbers over these three years. Tata demonstrates a very stable, powerful upward climb in operating cash flow, growing from 20,301 to 35,064, while JSW starts smaller at 12,078 but manages to more than double its operational generation to 25,152 by Mar'26. On capital spending, Tata steadily dials back its Capex from 17,731 down to 13,696 across the period. JSW takes a much more aggressive stance relative to its size, keeping capital spending heavy each year and hitting 14,542 in Mar'26.</a:t>
          </a:r>
        </a:p>
        <a:p>
          <a:r>
            <a:rPr lang="en-IN"/>
            <a:t>Because Tata kept its Capex under control while scaling operations, its Free Cash Flow exploded from 2,569 to a massive 21,368. JSW actually ran a negative Free Cash Flow of -3,469 in Mar'24 because its spending outpaced core earnings, though it successfully recovered to 10,610 by the final year. Tata's overall investing activities show a predictable, flat trend of roughly -14,000 to -14,900 out each year. Meanwhile, JSW has a massive anomaly in Mar'26 where its net investing activity swings to a huge positive inflow of 18,690.</a:t>
          </a:r>
        </a:p>
        <a:p>
          <a:r>
            <a:rPr lang="en-IN"/>
            <a:t>This unexpected investment inflow allows JSW to post a massive Net Cash Flow of 27,731 in Mar'26, completely beating out Tata's minor net deficit of -1,228 for the same year. Thanks to this massive end-of-period surge, JSW builds up an enormous closing cash pile of 39,256 by Mar'26. Tata, on the other hand, operates much more conservatively with its financing and investing outflows, maintaining a tight, stable closing cash reserve that ends at 8,885.</a:t>
          </a:r>
        </a:p>
        <a:p>
          <a:r>
            <a:rPr lang="en-IN"/>
            <a:t>This new breakdown provides the exact year-over-year differences and percentage shares between the two companies, highlighting a clear shift in market dominance over the three-year period. In FY 2023-24, Tata holds a massive lead in Operating Cash Flow, controlling 62.70% of the total share with a difference of 8,223.00, but by FY 2024-25, JSW bridges the gap significantly, bringing its share up to 47.46%. Tata's operational efficiency takes a giant leap forward again in FY 2025-26, driving the difference back up to 9,912.00 in its favor. Looking at the Free Cash Flow comparison, the data exposes JSW’s heavy initial deficit, where Tata holds an absolute positive variance of 6,038.00 in the first year due to JSW's negative balance.</a:t>
          </a:r>
        </a:p>
        <a:p>
          <a:r>
            <a:rPr lang="en-IN"/>
            <a:t>The percentage breakdown for Closing Cash reveals the most drastic divergence in the dataset, moving from a close split in the first year to absolute dominance by JSW at 81.54% of the combined cash pile by FY 2025-26. This translates to an enormous closing cash difference of -30,371.00 for Tata in the final year. The direct contrast in their investment strategies is perfectly captured by the OCF to Capex Ratio difference, which shows Tata outperforming JSW by 0.37 times in the first year, falling behind by -0.13 times in the second year, and roaring back to lead by a substantial 0.83 times in the final year. Ultimately, the percentage shares prove that while Tata consistently held the upper hand in generating operational and free cash value, JSW completely cornered the final liquidity share by the end of the timeline.</a:t>
          </a:r>
        </a:p>
        <a:p>
          <a:pPr rtl="0"/>
          <a:endParaRPr lang="en-IN" sz="1100"/>
        </a:p>
        <a:p>
          <a:pPr rtl="0"/>
          <a:r>
            <a:rPr lang="en-IN" sz="1200" b="1" u="sng">
              <a:solidFill>
                <a:srgbClr val="FF0000"/>
              </a:solidFill>
              <a:latin typeface="Times New Roman" panose="02020603050405020304" pitchFamily="18" charset="0"/>
              <a:cs typeface="Times New Roman" panose="02020603050405020304" pitchFamily="18" charset="0"/>
            </a:rPr>
            <a:t>CONCLUSION:</a:t>
          </a:r>
        </a:p>
        <a:p>
          <a:r>
            <a:rPr lang="en-IN"/>
            <a:t>Tata and JSW represent two completely different approaches to cash flow management, each telling a distinct corporate story.</a:t>
          </a:r>
        </a:p>
        <a:p>
          <a:r>
            <a:rPr lang="en-IN"/>
            <a:t>Tata operates as a pure cash generation machine. Its superior operating and free cash flow metrics prove its strong operational efficiency and strict capital discipline. Maintaining a massive 60.9% free cash flow margin shows a highly profitable core business that knows exactly how to control its capital expenditures while scaling up returns.</a:t>
          </a:r>
        </a:p>
        <a:p>
          <a:r>
            <a:rPr lang="en-IN"/>
            <a:t>JSW, on the other hand, acts as a cash accumulator focused on building up strategic liquidity. This reflects a company moving past a recovery phase and actively positioning itself for major capital deployment. The enormous 236.8% surge in its closing cash during FY26 points heavily toward strategic preparation for massive upcoming expansion, asset acquisition, or significant future shareholder rewards.</a:t>
          </a:r>
        </a:p>
        <a:p>
          <a:r>
            <a:rPr lang="en-IN"/>
            <a:t>For investors, the two companies offer entirely different value propositions. Tata provides a safe bet with steady cash returns and rock-solid financial health. JSW presents a higher-upside opportunistic play, where the ultimate value depends entirely on whether management can effectively deploy its massive cash pile to drive future operational earnings.</a:t>
          </a:r>
        </a:p>
        <a:p>
          <a:pPr rtl="0"/>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3377C-9C3F-4B53-855C-79390F07CA8A}">
  <dimension ref="A1:L29"/>
  <sheetViews>
    <sheetView tabSelected="1" workbookViewId="0">
      <selection activeCell="H15" sqref="H15"/>
    </sheetView>
  </sheetViews>
  <sheetFormatPr defaultRowHeight="15" customHeight="1" x14ac:dyDescent="0.3"/>
  <cols>
    <col min="1" max="1" width="31.109375" bestFit="1" customWidth="1"/>
    <col min="2" max="2" width="8.109375" customWidth="1"/>
    <col min="3" max="3" width="8.6640625" customWidth="1"/>
    <col min="4" max="4" width="9" customWidth="1"/>
    <col min="5" max="5" width="7.77734375" customWidth="1"/>
    <col min="8" max="8" width="11.33203125" bestFit="1" customWidth="1"/>
  </cols>
  <sheetData>
    <row r="1" spans="1:8" ht="15" customHeight="1" x14ac:dyDescent="0.3">
      <c r="A1" s="9" t="s">
        <v>0</v>
      </c>
      <c r="B1" s="2" t="s">
        <v>1</v>
      </c>
      <c r="C1" s="2" t="s">
        <v>2</v>
      </c>
      <c r="D1" s="2" t="s">
        <v>3</v>
      </c>
      <c r="E1" s="2" t="s">
        <v>4</v>
      </c>
      <c r="H1" s="35" t="s">
        <v>89</v>
      </c>
    </row>
    <row r="2" spans="1:8" ht="15" customHeight="1" x14ac:dyDescent="0.3">
      <c r="A2" s="14" t="s">
        <v>5</v>
      </c>
      <c r="B2" s="3">
        <v>21683</v>
      </c>
      <c r="C2" s="3">
        <v>20301</v>
      </c>
      <c r="D2" s="3">
        <v>23138</v>
      </c>
      <c r="E2" s="3">
        <v>35064</v>
      </c>
      <c r="H2" s="36" t="s">
        <v>88</v>
      </c>
    </row>
    <row r="3" spans="1:8" ht="15" customHeight="1" x14ac:dyDescent="0.3">
      <c r="A3" s="11" t="s">
        <v>6</v>
      </c>
      <c r="B3" s="4">
        <v>18235</v>
      </c>
      <c r="C3" s="4">
        <v>-1147</v>
      </c>
      <c r="D3" s="4">
        <v>8413</v>
      </c>
      <c r="E3" s="4">
        <v>15969</v>
      </c>
    </row>
    <row r="4" spans="1:8" ht="15" customHeight="1" x14ac:dyDescent="0.3">
      <c r="A4" s="11" t="s">
        <v>7</v>
      </c>
      <c r="B4" s="4">
        <v>12673</v>
      </c>
      <c r="C4" s="4">
        <v>23384</v>
      </c>
      <c r="D4" s="4">
        <v>15516</v>
      </c>
      <c r="E4" s="4">
        <v>18250</v>
      </c>
    </row>
    <row r="5" spans="1:8" ht="15" customHeight="1" x14ac:dyDescent="0.3">
      <c r="A5" s="15" t="s">
        <v>8</v>
      </c>
      <c r="B5" s="16">
        <v>30908</v>
      </c>
      <c r="C5" s="16">
        <v>22237</v>
      </c>
      <c r="D5" s="16">
        <v>23929</v>
      </c>
      <c r="E5" s="16">
        <v>34219</v>
      </c>
    </row>
    <row r="6" spans="1:8" ht="15" customHeight="1" x14ac:dyDescent="0.3">
      <c r="A6" s="11" t="s">
        <v>9</v>
      </c>
      <c r="B6" s="4">
        <v>-3706</v>
      </c>
      <c r="C6" s="4">
        <v>3384</v>
      </c>
      <c r="D6" s="4">
        <v>2207</v>
      </c>
      <c r="E6" s="4">
        <v>5442</v>
      </c>
    </row>
    <row r="7" spans="1:8" ht="15" customHeight="1" x14ac:dyDescent="0.3">
      <c r="A7" s="11" t="s">
        <v>10</v>
      </c>
      <c r="B7" s="4">
        <v>-5519</v>
      </c>
      <c r="C7" s="4">
        <v>-5320</v>
      </c>
      <c r="D7" s="4">
        <v>-2998</v>
      </c>
      <c r="E7" s="4">
        <v>-4597</v>
      </c>
    </row>
    <row r="8" spans="1:8" ht="15" customHeight="1" x14ac:dyDescent="0.3">
      <c r="A8" s="14" t="s">
        <v>11</v>
      </c>
      <c r="B8" s="3">
        <v>-18680</v>
      </c>
      <c r="C8" s="3">
        <v>-14251</v>
      </c>
      <c r="D8" s="3">
        <v>-13798</v>
      </c>
      <c r="E8" s="3">
        <v>-14905</v>
      </c>
    </row>
    <row r="9" spans="1:8" ht="15" customHeight="1" x14ac:dyDescent="0.3">
      <c r="A9" s="10" t="s">
        <v>20</v>
      </c>
      <c r="B9" s="3">
        <v>-13815</v>
      </c>
      <c r="C9" s="3">
        <v>-17731</v>
      </c>
      <c r="D9" s="3">
        <v>-15157</v>
      </c>
      <c r="E9" s="3">
        <v>-13696</v>
      </c>
    </row>
    <row r="10" spans="1:8" ht="15" customHeight="1" x14ac:dyDescent="0.3">
      <c r="A10" s="11" t="s">
        <v>21</v>
      </c>
      <c r="B10" s="4">
        <v>-14142</v>
      </c>
      <c r="C10" s="4">
        <v>-18207</v>
      </c>
      <c r="D10" s="4">
        <v>-15671</v>
      </c>
      <c r="E10" s="4">
        <v>-14559</v>
      </c>
    </row>
    <row r="11" spans="1:8" ht="15" customHeight="1" x14ac:dyDescent="0.3">
      <c r="A11" s="11" t="s">
        <v>22</v>
      </c>
      <c r="B11" s="5">
        <v>328</v>
      </c>
      <c r="C11" s="5">
        <v>475</v>
      </c>
      <c r="D11" s="5">
        <v>514</v>
      </c>
      <c r="E11" s="5">
        <v>863</v>
      </c>
    </row>
    <row r="12" spans="1:8" ht="15" customHeight="1" x14ac:dyDescent="0.3">
      <c r="A12" s="11" t="s">
        <v>23</v>
      </c>
      <c r="B12" s="5">
        <v>-326</v>
      </c>
      <c r="C12" s="5">
        <v>-478</v>
      </c>
      <c r="D12" s="4">
        <v>-1345</v>
      </c>
      <c r="E12" s="4">
        <v>-1700</v>
      </c>
    </row>
    <row r="13" spans="1:8" ht="15" customHeight="1" x14ac:dyDescent="0.3">
      <c r="A13" s="11" t="s">
        <v>24</v>
      </c>
      <c r="B13" s="4">
        <v>5214</v>
      </c>
      <c r="C13" s="4">
        <v>3171</v>
      </c>
      <c r="D13" s="4">
        <v>1021</v>
      </c>
      <c r="E13" s="4">
        <v>1109</v>
      </c>
    </row>
    <row r="14" spans="1:8" ht="15" customHeight="1" x14ac:dyDescent="0.3">
      <c r="A14" s="11" t="s">
        <v>25</v>
      </c>
      <c r="B14" s="5">
        <v>248</v>
      </c>
      <c r="C14" s="5">
        <v>333</v>
      </c>
      <c r="D14" s="5">
        <v>616</v>
      </c>
      <c r="E14" s="5">
        <v>650</v>
      </c>
    </row>
    <row r="15" spans="1:8" ht="15" customHeight="1" x14ac:dyDescent="0.3">
      <c r="A15" s="11" t="s">
        <v>26</v>
      </c>
      <c r="B15" s="5">
        <v>39.659999999999997</v>
      </c>
      <c r="C15" s="5">
        <v>51.44</v>
      </c>
      <c r="D15" s="5">
        <v>71.41</v>
      </c>
      <c r="E15" s="5">
        <v>107</v>
      </c>
    </row>
    <row r="16" spans="1:8" ht="15" customHeight="1" x14ac:dyDescent="0.3">
      <c r="A16" s="11" t="s">
        <v>27</v>
      </c>
      <c r="B16" s="4">
        <v>-10403</v>
      </c>
      <c r="C16" s="5">
        <v>123</v>
      </c>
      <c r="D16" s="5">
        <v>22.1</v>
      </c>
      <c r="E16" s="4">
        <v>-2235</v>
      </c>
    </row>
    <row r="17" spans="1:12" ht="15" customHeight="1" x14ac:dyDescent="0.3">
      <c r="A17" s="14" t="s">
        <v>12</v>
      </c>
      <c r="B17" s="3">
        <v>-6981</v>
      </c>
      <c r="C17" s="3">
        <v>-11097</v>
      </c>
      <c r="D17" s="3">
        <v>-7002</v>
      </c>
      <c r="E17" s="3">
        <v>-21387</v>
      </c>
    </row>
    <row r="18" spans="1:12" ht="15" customHeight="1" x14ac:dyDescent="0.3">
      <c r="A18" s="11" t="s">
        <v>28</v>
      </c>
      <c r="B18" s="5">
        <v>1.37</v>
      </c>
      <c r="C18" s="17" t="s">
        <v>19</v>
      </c>
      <c r="D18" s="17" t="s">
        <v>19</v>
      </c>
      <c r="E18" s="17" t="s">
        <v>19</v>
      </c>
      <c r="L18" s="1"/>
    </row>
    <row r="19" spans="1:12" ht="15" customHeight="1" x14ac:dyDescent="0.3">
      <c r="A19" s="10" t="s">
        <v>29</v>
      </c>
      <c r="B19" s="3">
        <v>12163</v>
      </c>
      <c r="C19" s="3">
        <v>1579</v>
      </c>
      <c r="D19" s="3">
        <v>7814</v>
      </c>
      <c r="E19" s="3">
        <v>-11804</v>
      </c>
    </row>
    <row r="20" spans="1:12" ht="15" customHeight="1" x14ac:dyDescent="0.3">
      <c r="A20" s="11" t="s">
        <v>30</v>
      </c>
      <c r="B20" s="4">
        <v>16769</v>
      </c>
      <c r="C20" s="4">
        <v>13329</v>
      </c>
      <c r="D20" s="4">
        <v>23893</v>
      </c>
      <c r="E20" s="4">
        <v>12092</v>
      </c>
    </row>
    <row r="21" spans="1:12" ht="15" customHeight="1" x14ac:dyDescent="0.3">
      <c r="A21" s="11" t="s">
        <v>31</v>
      </c>
      <c r="B21" s="4">
        <v>-4606</v>
      </c>
      <c r="C21" s="4">
        <v>-11751</v>
      </c>
      <c r="D21" s="4">
        <v>-16079</v>
      </c>
      <c r="E21" s="4">
        <v>-23897</v>
      </c>
    </row>
    <row r="22" spans="1:12" ht="15" customHeight="1" x14ac:dyDescent="0.3">
      <c r="A22" s="11" t="s">
        <v>32</v>
      </c>
      <c r="B22" s="4">
        <v>-6120</v>
      </c>
      <c r="C22" s="4">
        <v>-8145</v>
      </c>
      <c r="D22" s="4">
        <v>-8119</v>
      </c>
      <c r="E22" s="4">
        <v>-8066</v>
      </c>
    </row>
    <row r="23" spans="1:12" ht="15" customHeight="1" x14ac:dyDescent="0.3">
      <c r="A23" s="11" t="s">
        <v>33</v>
      </c>
      <c r="B23" s="4">
        <v>-6293</v>
      </c>
      <c r="C23" s="4">
        <v>-4429</v>
      </c>
      <c r="D23" s="4">
        <v>-4490</v>
      </c>
      <c r="E23" s="4">
        <v>-4490</v>
      </c>
    </row>
    <row r="24" spans="1:12" ht="15" customHeight="1" x14ac:dyDescent="0.3">
      <c r="A24" s="12" t="s">
        <v>13</v>
      </c>
      <c r="B24" s="7">
        <v>-3977</v>
      </c>
      <c r="C24" s="7">
        <v>-5048</v>
      </c>
      <c r="D24" s="7">
        <v>2337</v>
      </c>
      <c r="E24" s="7">
        <v>-1228</v>
      </c>
    </row>
    <row r="25" spans="1:12" ht="15" customHeight="1" x14ac:dyDescent="0.3">
      <c r="A25" s="10" t="s">
        <v>14</v>
      </c>
      <c r="B25" s="3">
        <v>15607</v>
      </c>
      <c r="C25" s="3">
        <v>12130</v>
      </c>
      <c r="D25" s="3">
        <v>7081</v>
      </c>
      <c r="E25" s="3">
        <v>9605</v>
      </c>
    </row>
    <row r="26" spans="1:12" ht="15" customHeight="1" x14ac:dyDescent="0.3">
      <c r="A26" s="10" t="s">
        <v>15</v>
      </c>
      <c r="B26" s="6">
        <v>500</v>
      </c>
      <c r="C26" s="6">
        <v>-1.3</v>
      </c>
      <c r="D26" s="6">
        <v>187</v>
      </c>
      <c r="E26" s="6">
        <v>508</v>
      </c>
    </row>
    <row r="27" spans="1:12" ht="15" customHeight="1" x14ac:dyDescent="0.3">
      <c r="A27" s="10" t="s">
        <v>16</v>
      </c>
      <c r="B27" s="3">
        <v>12130</v>
      </c>
      <c r="C27" s="3">
        <v>7081</v>
      </c>
      <c r="D27" s="3">
        <v>9605</v>
      </c>
      <c r="E27" s="3">
        <v>8885</v>
      </c>
    </row>
    <row r="28" spans="1:12" ht="15" customHeight="1" x14ac:dyDescent="0.3">
      <c r="A28" s="10" t="s">
        <v>17</v>
      </c>
      <c r="B28" s="3">
        <v>13815</v>
      </c>
      <c r="C28" s="3">
        <v>17731</v>
      </c>
      <c r="D28" s="3">
        <v>15157</v>
      </c>
      <c r="E28" s="3">
        <v>13696</v>
      </c>
    </row>
    <row r="29" spans="1:12" ht="15" customHeight="1" x14ac:dyDescent="0.3">
      <c r="A29" s="10" t="s">
        <v>18</v>
      </c>
      <c r="B29" s="3">
        <v>7868</v>
      </c>
      <c r="C29" s="3">
        <v>2569</v>
      </c>
      <c r="D29" s="3">
        <v>7981</v>
      </c>
      <c r="E29" s="3">
        <v>21368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A24D-77A8-44A5-B503-1A130D65E3C6}">
  <dimension ref="A1:H23"/>
  <sheetViews>
    <sheetView workbookViewId="0">
      <selection activeCell="B24" sqref="B24"/>
    </sheetView>
  </sheetViews>
  <sheetFormatPr defaultRowHeight="14.4" x14ac:dyDescent="0.3"/>
  <cols>
    <col min="1" max="1" width="36" bestFit="1" customWidth="1"/>
    <col min="6" max="6" width="56.21875" bestFit="1" customWidth="1"/>
  </cols>
  <sheetData>
    <row r="1" spans="1:6" x14ac:dyDescent="0.3">
      <c r="A1" s="37" t="s">
        <v>87</v>
      </c>
      <c r="B1" s="37"/>
    </row>
    <row r="2" spans="1:6" x14ac:dyDescent="0.3">
      <c r="A2" s="31" t="s">
        <v>68</v>
      </c>
      <c r="B2" s="20" t="s">
        <v>1</v>
      </c>
      <c r="C2" s="20" t="s">
        <v>2</v>
      </c>
      <c r="D2" s="20" t="s">
        <v>3</v>
      </c>
      <c r="E2" s="20" t="s">
        <v>4</v>
      </c>
      <c r="F2" s="20" t="s">
        <v>43</v>
      </c>
    </row>
    <row r="3" spans="1:6" x14ac:dyDescent="0.3">
      <c r="A3" s="32"/>
      <c r="B3" s="22"/>
      <c r="C3" s="22"/>
      <c r="D3" s="22"/>
      <c r="E3" s="22"/>
      <c r="F3" s="8"/>
    </row>
    <row r="4" spans="1:6" x14ac:dyDescent="0.3">
      <c r="A4" s="33" t="s">
        <v>34</v>
      </c>
      <c r="B4" s="22">
        <f>'TATA CFS'!B2/'TATA CFS'!B3</f>
        <v>1.1890869207567865</v>
      </c>
      <c r="C4" s="22">
        <f>'TATA CFS'!C2/'TATA CFS'!C3</f>
        <v>-17.699215344376636</v>
      </c>
      <c r="D4" s="22">
        <f>'TATA CFS'!D2/'TATA CFS'!D3</f>
        <v>2.7502674432426009</v>
      </c>
      <c r="E4" s="22">
        <f>'TATA CFS'!E2/'TATA CFS'!E3</f>
        <v>2.1957542739056923</v>
      </c>
      <c r="F4" s="8" t="s">
        <v>44</v>
      </c>
    </row>
    <row r="5" spans="1:6" x14ac:dyDescent="0.3">
      <c r="A5" s="32" t="s">
        <v>35</v>
      </c>
      <c r="B5" s="22">
        <f>'TATA CFS'!B2/'TATA CFS'!B28</f>
        <v>1.5695258776692</v>
      </c>
      <c r="C5" s="22">
        <f>'TATA CFS'!C2/'TATA CFS'!C28</f>
        <v>1.144943883593706</v>
      </c>
      <c r="D5" s="22">
        <f>'TATA CFS'!D2/'TATA CFS'!D28</f>
        <v>1.5265553869499242</v>
      </c>
      <c r="E5" s="22">
        <f>'TATA CFS'!E2/'TATA CFS'!E28</f>
        <v>2.5601635514018692</v>
      </c>
      <c r="F5" s="8" t="s">
        <v>45</v>
      </c>
    </row>
    <row r="6" spans="1:6" x14ac:dyDescent="0.3">
      <c r="A6" s="32" t="s">
        <v>36</v>
      </c>
      <c r="B6" s="22">
        <f>'TATA CFS'!B2/'TATA CFS'!B24</f>
        <v>-5.4520995725421173</v>
      </c>
      <c r="C6" s="22">
        <f>'TATA CFS'!C2/'TATA CFS'!C24</f>
        <v>-4.0215927099841524</v>
      </c>
      <c r="D6" s="22">
        <f>'TATA CFS'!D2/'TATA CFS'!D24</f>
        <v>9.9007274283269151</v>
      </c>
      <c r="E6" s="22">
        <f>'TATA CFS'!E2/'TATA CFS'!E24</f>
        <v>-28.553745928338763</v>
      </c>
      <c r="F6" s="8" t="s">
        <v>46</v>
      </c>
    </row>
    <row r="7" spans="1:6" x14ac:dyDescent="0.3">
      <c r="A7" s="32"/>
      <c r="B7" s="22"/>
      <c r="C7" s="22"/>
      <c r="D7" s="22"/>
      <c r="E7" s="22"/>
      <c r="F7" s="8"/>
    </row>
    <row r="8" spans="1:6" x14ac:dyDescent="0.3">
      <c r="A8" s="33" t="s">
        <v>37</v>
      </c>
      <c r="B8" s="22">
        <f>'TATA CFS'!B29/'TATA CFS'!B2*100</f>
        <v>36.286491721625239</v>
      </c>
      <c r="C8" s="22">
        <f>'TATA CFS'!C29/'TATA CFS'!C2*100</f>
        <v>12.654549036993251</v>
      </c>
      <c r="D8" s="22">
        <f>'TATA CFS'!D29/'TATA CFS'!D2*100</f>
        <v>34.493041749502986</v>
      </c>
      <c r="E8" s="22">
        <f>'TATA CFS'!E29/'TATA CFS'!E2*100</f>
        <v>60.939995436915353</v>
      </c>
      <c r="F8" s="21" t="s">
        <v>47</v>
      </c>
    </row>
    <row r="9" spans="1:6" x14ac:dyDescent="0.3">
      <c r="A9" s="33" t="s">
        <v>38</v>
      </c>
      <c r="B9" s="22">
        <f>'TATA CFS'!B28/'TATA CFS'!B2*100</f>
        <v>63.713508278374761</v>
      </c>
      <c r="C9" s="22">
        <f>'TATA CFS'!C28/'TATA CFS'!C2*100</f>
        <v>87.340525097285848</v>
      </c>
      <c r="D9" s="22">
        <f>'TATA CFS'!D28/'TATA CFS'!D2*100</f>
        <v>65.506958250497021</v>
      </c>
      <c r="E9" s="22">
        <f>'TATA CFS'!E28/'TATA CFS'!E2*100</f>
        <v>39.060004563084647</v>
      </c>
      <c r="F9" s="21" t="s">
        <v>48</v>
      </c>
    </row>
    <row r="10" spans="1:6" x14ac:dyDescent="0.3">
      <c r="A10" s="32"/>
      <c r="B10" s="22"/>
      <c r="C10" s="22"/>
      <c r="D10" s="22"/>
      <c r="E10" s="22"/>
      <c r="F10" s="8"/>
    </row>
    <row r="11" spans="1:6" x14ac:dyDescent="0.3">
      <c r="A11" s="33" t="s">
        <v>39</v>
      </c>
      <c r="B11" s="22">
        <f>'TATA CFS'!B2/'TATA CFS'!B27</f>
        <v>1.7875515251442704</v>
      </c>
      <c r="C11" s="22">
        <f>'TATA CFS'!C2/'TATA CFS'!C27</f>
        <v>2.8669679423810197</v>
      </c>
      <c r="D11" s="22">
        <f>'TATA CFS'!D2/'TATA CFS'!D27</f>
        <v>2.4089536699635605</v>
      </c>
      <c r="E11" s="22">
        <f>'TATA CFS'!E2/'TATA CFS'!E27</f>
        <v>3.9464265616207093</v>
      </c>
      <c r="F11" s="21" t="s">
        <v>52</v>
      </c>
    </row>
    <row r="12" spans="1:6" x14ac:dyDescent="0.3">
      <c r="A12" s="32"/>
      <c r="B12" s="22"/>
      <c r="C12" s="22"/>
      <c r="D12" s="22"/>
      <c r="E12" s="22"/>
      <c r="F12" s="8"/>
    </row>
    <row r="13" spans="1:6" x14ac:dyDescent="0.3">
      <c r="A13" s="32" t="s">
        <v>40</v>
      </c>
      <c r="B13" s="22">
        <f>'TATA CFS'!B2/'TATA CFS'!B8</f>
        <v>-1.1607601713062099</v>
      </c>
      <c r="C13" s="22">
        <f>'TATA CFS'!C2/'TATA CFS'!C8</f>
        <v>-1.4245316118167146</v>
      </c>
      <c r="D13" s="22">
        <f>'TATA CFS'!D2/'TATA CFS'!D8</f>
        <v>-1.6769096970575446</v>
      </c>
      <c r="E13" s="22">
        <f>'TATA CFS'!E2/'TATA CFS'!E8</f>
        <v>-2.3524991613552499</v>
      </c>
      <c r="F13" s="8" t="s">
        <v>49</v>
      </c>
    </row>
    <row r="14" spans="1:6" x14ac:dyDescent="0.3">
      <c r="A14" s="32" t="s">
        <v>41</v>
      </c>
      <c r="B14" s="22">
        <f>'TATA CFS'!B2/'TATA CFS'!B17</f>
        <v>-3.1060020054433464</v>
      </c>
      <c r="C14" s="22">
        <f>'TATA CFS'!C2/'TATA CFS'!C17</f>
        <v>-1.8294133549608003</v>
      </c>
      <c r="D14" s="22">
        <f>'TATA CFS'!D2/'TATA CFS'!D17</f>
        <v>-3.3044844330191374</v>
      </c>
      <c r="E14" s="22">
        <f>'TATA CFS'!E2/'TATA CFS'!E17</f>
        <v>-1.6395006312245757</v>
      </c>
      <c r="F14" s="8" t="s">
        <v>50</v>
      </c>
    </row>
    <row r="15" spans="1:6" x14ac:dyDescent="0.3">
      <c r="A15" s="34" t="s">
        <v>33</v>
      </c>
      <c r="B15" s="23">
        <v>6293</v>
      </c>
      <c r="C15" s="23">
        <v>4429</v>
      </c>
      <c r="D15" s="23">
        <v>4490</v>
      </c>
      <c r="E15" s="23">
        <v>4490</v>
      </c>
      <c r="F15" s="8"/>
    </row>
    <row r="16" spans="1:6" x14ac:dyDescent="0.3">
      <c r="A16" s="32" t="s">
        <v>42</v>
      </c>
      <c r="B16" s="22">
        <f>('TATA CFS'!B28+'TATA-Ratio Analysis'!B15)/'TATA CFS'!B2</f>
        <v>0.92736244984550109</v>
      </c>
      <c r="C16" s="22">
        <f>('TATA CFS'!C28+'TATA-Ratio Analysis'!C15)/'TATA CFS'!C2</f>
        <v>1.0915718437515394</v>
      </c>
      <c r="D16" s="22">
        <f>('TATA CFS'!D28+'TATA-Ratio Analysis'!D15)/'TATA CFS'!D2</f>
        <v>0.84912265537211518</v>
      </c>
      <c r="E16" s="22">
        <f>('TATA CFS'!E28+'TATA-Ratio Analysis'!E15)/'TATA CFS'!E2</f>
        <v>0.51865160848733749</v>
      </c>
      <c r="F16" s="8" t="s">
        <v>51</v>
      </c>
    </row>
    <row r="23" spans="4:8" x14ac:dyDescent="0.3">
      <c r="D23" s="24"/>
      <c r="E23" s="25"/>
      <c r="F23" s="25"/>
      <c r="G23" s="25"/>
      <c r="H23" s="25"/>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AA5D4-87B4-4C73-ADDA-A3A65AAB245D}">
  <dimension ref="A1"/>
  <sheetViews>
    <sheetView workbookViewId="0">
      <selection activeCell="M4" sqref="I4:M4"/>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F48E5-5509-40CE-B3A4-B152A8007F79}">
  <dimension ref="A1:H29"/>
  <sheetViews>
    <sheetView workbookViewId="0">
      <selection activeCell="H4" sqref="H4"/>
    </sheetView>
  </sheetViews>
  <sheetFormatPr defaultRowHeight="15" customHeight="1" x14ac:dyDescent="0.3"/>
  <cols>
    <col min="1" max="1" width="31.109375" bestFit="1" customWidth="1"/>
    <col min="8" max="8" width="10.77734375" bestFit="1" customWidth="1"/>
  </cols>
  <sheetData>
    <row r="1" spans="1:8" ht="15" customHeight="1" x14ac:dyDescent="0.3">
      <c r="A1" s="9" t="s">
        <v>0</v>
      </c>
      <c r="B1" s="2" t="s">
        <v>1</v>
      </c>
      <c r="C1" s="2" t="s">
        <v>2</v>
      </c>
      <c r="D1" s="2" t="s">
        <v>3</v>
      </c>
      <c r="E1" s="2" t="s">
        <v>4</v>
      </c>
    </row>
    <row r="2" spans="1:8" ht="15" customHeight="1" x14ac:dyDescent="0.3">
      <c r="A2" s="14" t="s">
        <v>5</v>
      </c>
      <c r="B2" s="3">
        <v>23323</v>
      </c>
      <c r="C2" s="3">
        <v>12078</v>
      </c>
      <c r="D2" s="3">
        <v>20899</v>
      </c>
      <c r="E2" s="3">
        <v>25152</v>
      </c>
    </row>
    <row r="3" spans="1:8" ht="15" customHeight="1" x14ac:dyDescent="0.3">
      <c r="A3" s="11" t="s">
        <v>6</v>
      </c>
      <c r="B3" s="4">
        <v>5655</v>
      </c>
      <c r="C3" s="4">
        <v>13380</v>
      </c>
      <c r="D3" s="4">
        <v>5077</v>
      </c>
      <c r="E3" s="4">
        <v>29250</v>
      </c>
      <c r="H3" s="36" t="s">
        <v>90</v>
      </c>
    </row>
    <row r="4" spans="1:8" ht="15" customHeight="1" x14ac:dyDescent="0.3">
      <c r="A4" s="11" t="s">
        <v>7</v>
      </c>
      <c r="B4" s="4">
        <v>15201</v>
      </c>
      <c r="C4" s="4">
        <v>15092</v>
      </c>
      <c r="D4" s="4">
        <v>18476</v>
      </c>
      <c r="E4" s="4">
        <v>2835</v>
      </c>
    </row>
    <row r="5" spans="1:8" ht="15" customHeight="1" x14ac:dyDescent="0.3">
      <c r="A5" s="11" t="s">
        <v>8</v>
      </c>
      <c r="B5" s="4">
        <v>20856</v>
      </c>
      <c r="C5" s="4">
        <v>28472</v>
      </c>
      <c r="D5" s="4">
        <v>23553</v>
      </c>
      <c r="E5" s="4">
        <v>32085</v>
      </c>
    </row>
    <row r="6" spans="1:8" ht="15" customHeight="1" x14ac:dyDescent="0.3">
      <c r="A6" s="11" t="s">
        <v>9</v>
      </c>
      <c r="B6" s="4">
        <v>3105</v>
      </c>
      <c r="C6" s="4">
        <v>-13615</v>
      </c>
      <c r="D6" s="5">
        <v>-681</v>
      </c>
      <c r="E6" s="4">
        <v>-3708</v>
      </c>
    </row>
    <row r="7" spans="1:8" ht="15" customHeight="1" x14ac:dyDescent="0.3">
      <c r="A7" s="11" t="s">
        <v>10</v>
      </c>
      <c r="B7" s="5">
        <v>-638</v>
      </c>
      <c r="C7" s="4">
        <v>-2779</v>
      </c>
      <c r="D7" s="4">
        <v>-1973</v>
      </c>
      <c r="E7" s="4">
        <v>-3225</v>
      </c>
    </row>
    <row r="8" spans="1:8" ht="15" customHeight="1" x14ac:dyDescent="0.3">
      <c r="A8" s="14" t="s">
        <v>11</v>
      </c>
      <c r="B8" s="3">
        <v>-10711</v>
      </c>
      <c r="C8" s="3">
        <v>-14638</v>
      </c>
      <c r="D8" s="3">
        <v>-16997</v>
      </c>
      <c r="E8" s="3">
        <v>18690</v>
      </c>
    </row>
    <row r="9" spans="1:8" ht="15" customHeight="1" x14ac:dyDescent="0.3">
      <c r="A9" s="10" t="s">
        <v>20</v>
      </c>
      <c r="B9" s="3">
        <v>-14637</v>
      </c>
      <c r="C9" s="3">
        <v>-15547</v>
      </c>
      <c r="D9" s="3">
        <v>-12635</v>
      </c>
      <c r="E9" s="3">
        <v>-14542</v>
      </c>
    </row>
    <row r="10" spans="1:8" ht="15" customHeight="1" x14ac:dyDescent="0.3">
      <c r="A10" s="11" t="s">
        <v>21</v>
      </c>
      <c r="B10" s="4">
        <v>-14784</v>
      </c>
      <c r="C10" s="4">
        <v>-15801</v>
      </c>
      <c r="D10" s="4">
        <v>-12694</v>
      </c>
      <c r="E10" s="4">
        <v>-14654</v>
      </c>
    </row>
    <row r="11" spans="1:8" ht="15" customHeight="1" x14ac:dyDescent="0.3">
      <c r="A11" s="11" t="s">
        <v>22</v>
      </c>
      <c r="B11" s="5">
        <v>147</v>
      </c>
      <c r="C11" s="5">
        <v>254</v>
      </c>
      <c r="D11" s="5">
        <v>59</v>
      </c>
      <c r="E11" s="5">
        <v>112</v>
      </c>
    </row>
    <row r="12" spans="1:8" ht="15" customHeight="1" x14ac:dyDescent="0.3">
      <c r="A12" s="11" t="s">
        <v>23</v>
      </c>
      <c r="B12" s="5">
        <v>-445</v>
      </c>
      <c r="C12" s="4">
        <v>-3980</v>
      </c>
      <c r="D12" s="4">
        <v>-14007</v>
      </c>
      <c r="E12" s="17" t="s">
        <v>19</v>
      </c>
    </row>
    <row r="13" spans="1:8" ht="15" customHeight="1" x14ac:dyDescent="0.3">
      <c r="A13" s="11" t="s">
        <v>24</v>
      </c>
      <c r="B13" s="4">
        <v>3290</v>
      </c>
      <c r="C13" s="4">
        <v>4599</v>
      </c>
      <c r="D13" s="4">
        <v>8911</v>
      </c>
      <c r="E13" s="17" t="s">
        <v>19</v>
      </c>
    </row>
    <row r="14" spans="1:8" ht="15" customHeight="1" x14ac:dyDescent="0.3">
      <c r="A14" s="11" t="s">
        <v>25</v>
      </c>
      <c r="B14" s="5">
        <v>600</v>
      </c>
      <c r="C14" s="5">
        <v>899</v>
      </c>
      <c r="D14" s="5">
        <v>660</v>
      </c>
      <c r="E14" s="5">
        <v>672</v>
      </c>
    </row>
    <row r="15" spans="1:8" ht="15" customHeight="1" x14ac:dyDescent="0.3">
      <c r="A15" s="11" t="s">
        <v>26</v>
      </c>
      <c r="B15" s="5">
        <v>21</v>
      </c>
      <c r="C15" s="5">
        <v>21</v>
      </c>
      <c r="D15" s="5">
        <v>24</v>
      </c>
      <c r="E15" s="5">
        <v>24</v>
      </c>
    </row>
    <row r="16" spans="1:8" ht="15" customHeight="1" x14ac:dyDescent="0.3">
      <c r="A16" s="11" t="s">
        <v>27</v>
      </c>
      <c r="B16" s="17" t="s">
        <v>19</v>
      </c>
      <c r="C16" s="5">
        <v>-630</v>
      </c>
      <c r="D16" s="17" t="s">
        <v>19</v>
      </c>
      <c r="E16" s="17" t="s">
        <v>19</v>
      </c>
    </row>
    <row r="17" spans="1:5" ht="15" customHeight="1" x14ac:dyDescent="0.3">
      <c r="A17" s="14" t="s">
        <v>12</v>
      </c>
      <c r="B17" s="3">
        <v>-5977</v>
      </c>
      <c r="C17" s="3">
        <v>-5005</v>
      </c>
      <c r="D17" s="6">
        <v>-262</v>
      </c>
      <c r="E17" s="3">
        <v>-16111</v>
      </c>
    </row>
    <row r="18" spans="1:5" ht="15" customHeight="1" x14ac:dyDescent="0.3">
      <c r="A18" s="11" t="s">
        <v>28</v>
      </c>
      <c r="B18" s="5">
        <v>59</v>
      </c>
      <c r="C18" s="5">
        <v>6</v>
      </c>
      <c r="D18" s="5">
        <v>-44</v>
      </c>
      <c r="E18" s="17" t="s">
        <v>19</v>
      </c>
    </row>
    <row r="19" spans="1:5" ht="15" customHeight="1" x14ac:dyDescent="0.3">
      <c r="A19" s="10" t="s">
        <v>29</v>
      </c>
      <c r="B19" s="3">
        <v>3792</v>
      </c>
      <c r="C19" s="3">
        <v>3563</v>
      </c>
      <c r="D19" s="3">
        <v>11546</v>
      </c>
      <c r="E19" s="3">
        <v>-7296</v>
      </c>
    </row>
    <row r="20" spans="1:5" ht="15" customHeight="1" x14ac:dyDescent="0.3">
      <c r="A20" s="11" t="s">
        <v>30</v>
      </c>
      <c r="B20" s="4">
        <v>17950</v>
      </c>
      <c r="C20" s="4">
        <v>19891</v>
      </c>
      <c r="D20" s="4">
        <v>28243</v>
      </c>
      <c r="E20" s="4">
        <v>14399</v>
      </c>
    </row>
    <row r="21" spans="1:5" ht="15" customHeight="1" x14ac:dyDescent="0.3">
      <c r="A21" s="11" t="s">
        <v>31</v>
      </c>
      <c r="B21" s="4">
        <v>-14158</v>
      </c>
      <c r="C21" s="4">
        <v>-16328</v>
      </c>
      <c r="D21" s="4">
        <v>-16697</v>
      </c>
      <c r="E21" s="4">
        <v>-21695</v>
      </c>
    </row>
    <row r="22" spans="1:5" ht="15" customHeight="1" x14ac:dyDescent="0.3">
      <c r="A22" s="11" t="s">
        <v>32</v>
      </c>
      <c r="B22" s="4">
        <v>-6902</v>
      </c>
      <c r="C22" s="4">
        <v>-8087</v>
      </c>
      <c r="D22" s="4">
        <v>-8835</v>
      </c>
      <c r="E22" s="4">
        <v>-8922</v>
      </c>
    </row>
    <row r="23" spans="1:5" ht="15" customHeight="1" x14ac:dyDescent="0.3">
      <c r="A23" s="11" t="s">
        <v>33</v>
      </c>
      <c r="B23" s="4">
        <v>-4194</v>
      </c>
      <c r="C23" s="5">
        <v>-822</v>
      </c>
      <c r="D23" s="4">
        <v>-1785</v>
      </c>
      <c r="E23" s="5">
        <v>-685</v>
      </c>
    </row>
    <row r="24" spans="1:5" ht="15" customHeight="1" x14ac:dyDescent="0.3">
      <c r="A24" s="12" t="s">
        <v>13</v>
      </c>
      <c r="B24" s="7">
        <v>6635</v>
      </c>
      <c r="C24" s="7">
        <v>-7565</v>
      </c>
      <c r="D24" s="7">
        <v>3640</v>
      </c>
      <c r="E24" s="7">
        <v>27731</v>
      </c>
    </row>
    <row r="25" spans="1:5" ht="15" customHeight="1" x14ac:dyDescent="0.3">
      <c r="A25" s="10" t="s">
        <v>14</v>
      </c>
      <c r="B25" s="3">
        <v>8808</v>
      </c>
      <c r="C25" s="3">
        <v>15424</v>
      </c>
      <c r="D25" s="3">
        <v>8030</v>
      </c>
      <c r="E25" s="3">
        <v>11655</v>
      </c>
    </row>
    <row r="26" spans="1:5" ht="15" customHeight="1" x14ac:dyDescent="0.3">
      <c r="A26" s="10" t="s">
        <v>15</v>
      </c>
      <c r="B26" s="13" t="s">
        <v>19</v>
      </c>
      <c r="C26" s="13" t="s">
        <v>19</v>
      </c>
      <c r="D26" s="13" t="s">
        <v>19</v>
      </c>
      <c r="E26" s="13" t="s">
        <v>19</v>
      </c>
    </row>
    <row r="27" spans="1:5" ht="15" customHeight="1" x14ac:dyDescent="0.3">
      <c r="A27" s="10" t="s">
        <v>16</v>
      </c>
      <c r="B27" s="3">
        <v>15424</v>
      </c>
      <c r="C27" s="3">
        <v>8030</v>
      </c>
      <c r="D27" s="3">
        <v>11655</v>
      </c>
      <c r="E27" s="3">
        <v>39256</v>
      </c>
    </row>
    <row r="28" spans="1:5" ht="15" customHeight="1" x14ac:dyDescent="0.3">
      <c r="A28" s="10" t="s">
        <v>17</v>
      </c>
      <c r="B28" s="3">
        <v>14637</v>
      </c>
      <c r="C28" s="3">
        <v>15547</v>
      </c>
      <c r="D28" s="3">
        <v>12635</v>
      </c>
      <c r="E28" s="3">
        <v>14542</v>
      </c>
    </row>
    <row r="29" spans="1:5" ht="15" customHeight="1" x14ac:dyDescent="0.3">
      <c r="A29" s="12" t="s">
        <v>18</v>
      </c>
      <c r="B29" s="18">
        <v>8686</v>
      </c>
      <c r="C29" s="18">
        <v>-3469</v>
      </c>
      <c r="D29" s="18">
        <v>8264</v>
      </c>
      <c r="E29" s="18">
        <v>10610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6D239-FE9D-426A-AE2D-DFF6AA819852}">
  <dimension ref="A1:F16"/>
  <sheetViews>
    <sheetView workbookViewId="0">
      <selection sqref="A1:F16"/>
    </sheetView>
  </sheetViews>
  <sheetFormatPr defaultRowHeight="14.4" x14ac:dyDescent="0.3"/>
  <cols>
    <col min="1" max="1" width="36" bestFit="1" customWidth="1"/>
    <col min="2" max="2" width="10.6640625" customWidth="1"/>
    <col min="3" max="3" width="9.88671875" customWidth="1"/>
    <col min="4" max="4" width="9.6640625" customWidth="1"/>
    <col min="5" max="5" width="9.5546875" customWidth="1"/>
    <col min="6" max="6" width="56.21875" bestFit="1" customWidth="1"/>
  </cols>
  <sheetData>
    <row r="1" spans="1:6" x14ac:dyDescent="0.3">
      <c r="A1" s="37" t="s">
        <v>86</v>
      </c>
      <c r="B1" s="37"/>
    </row>
    <row r="2" spans="1:6" x14ac:dyDescent="0.3">
      <c r="A2" s="31" t="s">
        <v>68</v>
      </c>
      <c r="B2" s="20" t="s">
        <v>1</v>
      </c>
      <c r="C2" s="20" t="s">
        <v>2</v>
      </c>
      <c r="D2" s="20" t="s">
        <v>3</v>
      </c>
      <c r="E2" s="20" t="s">
        <v>4</v>
      </c>
      <c r="F2" s="20" t="s">
        <v>43</v>
      </c>
    </row>
    <row r="3" spans="1:6" x14ac:dyDescent="0.3">
      <c r="A3" s="32"/>
      <c r="B3" s="8"/>
      <c r="C3" s="8"/>
      <c r="D3" s="8"/>
      <c r="E3" s="8"/>
      <c r="F3" s="8"/>
    </row>
    <row r="4" spans="1:6" x14ac:dyDescent="0.3">
      <c r="A4" s="33" t="s">
        <v>34</v>
      </c>
      <c r="B4" s="22">
        <f>'JSW CFS'!B2/'JSW CFS'!B3</f>
        <v>4.1243147656940762</v>
      </c>
      <c r="C4" s="22">
        <f>'JSW CFS'!C2/'JSW CFS'!C3</f>
        <v>0.90269058295964122</v>
      </c>
      <c r="D4" s="22">
        <f>'JSW CFS'!D2/'JSW CFS'!D3</f>
        <v>4.1164073271617099</v>
      </c>
      <c r="E4" s="22">
        <f>'JSW CFS'!E2/'JSW CFS'!E3</f>
        <v>0.85989743589743595</v>
      </c>
      <c r="F4" s="8" t="s">
        <v>61</v>
      </c>
    </row>
    <row r="5" spans="1:6" x14ac:dyDescent="0.3">
      <c r="A5" s="32" t="s">
        <v>35</v>
      </c>
      <c r="B5" s="22">
        <f>'JSW CFS'!B2/'JSW CFS'!B28</f>
        <v>1.5934276149484183</v>
      </c>
      <c r="C5" s="22">
        <f>'JSW CFS'!C2/'JSW CFS'!C28</f>
        <v>0.77687013571750174</v>
      </c>
      <c r="D5" s="22">
        <f>'JSW CFS'!D2/'JSW CFS'!D28</f>
        <v>1.6540561931143649</v>
      </c>
      <c r="E5" s="22">
        <f>'JSW CFS'!E2/'JSW CFS'!E28</f>
        <v>1.7296107825608582</v>
      </c>
      <c r="F5" s="8" t="s">
        <v>60</v>
      </c>
    </row>
    <row r="6" spans="1:6" x14ac:dyDescent="0.3">
      <c r="A6" s="32" t="s">
        <v>36</v>
      </c>
      <c r="B6" s="22">
        <f>'JSW CFS'!B2/'JSW CFS'!B24</f>
        <v>3.5151469480030144</v>
      </c>
      <c r="C6" s="22">
        <f>'JSW CFS'!C2/'JSW CFS'!C24</f>
        <v>-1.5965631196298744</v>
      </c>
      <c r="D6" s="22">
        <f>'JSW CFS'!D2/'JSW CFS'!D24</f>
        <v>5.7414835164835161</v>
      </c>
      <c r="E6" s="22">
        <f>'JSW CFS'!E2/'JSW CFS'!E24</f>
        <v>0.90699938696765348</v>
      </c>
      <c r="F6" s="8" t="s">
        <v>59</v>
      </c>
    </row>
    <row r="7" spans="1:6" x14ac:dyDescent="0.3">
      <c r="A7" s="32"/>
      <c r="B7" s="22"/>
      <c r="C7" s="22"/>
      <c r="D7" s="22"/>
      <c r="E7" s="22"/>
      <c r="F7" s="8"/>
    </row>
    <row r="8" spans="1:6" x14ac:dyDescent="0.3">
      <c r="A8" s="33" t="s">
        <v>37</v>
      </c>
      <c r="B8" s="22">
        <f>'JSW CFS'!B29/'JSW CFS'!B2*100</f>
        <v>37.242207263216564</v>
      </c>
      <c r="C8" s="22">
        <f>'JSW CFS'!C29/'JSW CFS'!C2*100</f>
        <v>-28.721642656068884</v>
      </c>
      <c r="D8" s="22">
        <f>'JSW CFS'!D29/'JSW CFS'!D2*100</f>
        <v>39.542561845064355</v>
      </c>
      <c r="E8" s="22">
        <f>'JSW CFS'!E29/'JSW CFS'!E2*100</f>
        <v>42.18352417302799</v>
      </c>
      <c r="F8" s="21" t="s">
        <v>58</v>
      </c>
    </row>
    <row r="9" spans="1:6" x14ac:dyDescent="0.3">
      <c r="A9" s="33" t="s">
        <v>38</v>
      </c>
      <c r="B9" s="22">
        <f>'JSW CFS'!B28/'JSW CFS'!B2*100</f>
        <v>62.757792736783436</v>
      </c>
      <c r="C9" s="22">
        <f>'JSW CFS'!C28/'JSW CFS'!C2*100</f>
        <v>128.72164265606889</v>
      </c>
      <c r="D9" s="22">
        <f>'JSW CFS'!D28/'JSW CFS'!D2*100</f>
        <v>60.457438154935637</v>
      </c>
      <c r="E9" s="22">
        <f>'JSW CFS'!E28/'JSW CFS'!E2*100</f>
        <v>57.816475826972017</v>
      </c>
      <c r="F9" s="21" t="s">
        <v>57</v>
      </c>
    </row>
    <row r="10" spans="1:6" x14ac:dyDescent="0.3">
      <c r="A10" s="32"/>
      <c r="B10" s="22"/>
      <c r="C10" s="22"/>
      <c r="D10" s="22"/>
      <c r="E10" s="22"/>
      <c r="F10" s="8"/>
    </row>
    <row r="11" spans="1:6" x14ac:dyDescent="0.3">
      <c r="A11" s="33" t="s">
        <v>39</v>
      </c>
      <c r="B11" s="22">
        <f>'JSW CFS'!B2/'JSW CFS'!B27</f>
        <v>1.5121239626556016</v>
      </c>
      <c r="C11" s="22">
        <f>'JSW CFS'!C2/'JSW CFS'!C27</f>
        <v>1.5041095890410958</v>
      </c>
      <c r="D11" s="22">
        <f>'JSW CFS'!D2/'JSW CFS'!D27</f>
        <v>1.7931359931359931</v>
      </c>
      <c r="E11" s="22">
        <f>'JSW CFS'!E2/'JSW CFS'!E27</f>
        <v>0.6407173425718361</v>
      </c>
      <c r="F11" s="21" t="s">
        <v>56</v>
      </c>
    </row>
    <row r="12" spans="1:6" x14ac:dyDescent="0.3">
      <c r="A12" s="32"/>
      <c r="B12" s="22"/>
      <c r="C12" s="22"/>
      <c r="D12" s="22"/>
      <c r="E12" s="22"/>
      <c r="F12" s="8"/>
    </row>
    <row r="13" spans="1:6" x14ac:dyDescent="0.3">
      <c r="A13" s="32" t="s">
        <v>40</v>
      </c>
      <c r="B13" s="22">
        <f>'JSW CFS'!B2/'JSW CFS'!B8</f>
        <v>-2.1774810942022218</v>
      </c>
      <c r="C13" s="22">
        <f>'JSW CFS'!C2/'JSW CFS'!C8</f>
        <v>-0.82511272031698324</v>
      </c>
      <c r="D13" s="22">
        <f>'JSW CFS'!D2/'JSW CFS'!D8</f>
        <v>-1.2295699241042537</v>
      </c>
      <c r="E13" s="22">
        <f>'JSW CFS'!E2/'JSW CFS'!E8</f>
        <v>1.3457463884430176</v>
      </c>
      <c r="F13" s="8" t="s">
        <v>54</v>
      </c>
    </row>
    <row r="14" spans="1:6" x14ac:dyDescent="0.3">
      <c r="A14" s="32" t="s">
        <v>41</v>
      </c>
      <c r="B14" s="22">
        <f>'JSW CFS'!B2/'JSW CFS'!B17</f>
        <v>-3.9021248117784841</v>
      </c>
      <c r="C14" s="22">
        <f>'JSW CFS'!C2/'JSW CFS'!C17</f>
        <v>-2.4131868131868131</v>
      </c>
      <c r="D14" s="22">
        <f>'JSW CFS'!D2/'JSW CFS'!D17</f>
        <v>-79.767175572519079</v>
      </c>
      <c r="E14" s="22">
        <f>'JSW CFS'!E2/'JSW CFS'!E17</f>
        <v>-1.5611693873750854</v>
      </c>
      <c r="F14" s="8" t="s">
        <v>55</v>
      </c>
    </row>
    <row r="15" spans="1:6" x14ac:dyDescent="0.3">
      <c r="A15" s="34" t="s">
        <v>33</v>
      </c>
      <c r="B15" s="22">
        <v>4194</v>
      </c>
      <c r="C15" s="22">
        <v>822</v>
      </c>
      <c r="D15" s="22">
        <v>1785</v>
      </c>
      <c r="E15" s="22">
        <v>685</v>
      </c>
      <c r="F15" s="8"/>
    </row>
    <row r="16" spans="1:6" x14ac:dyDescent="0.3">
      <c r="A16" s="32" t="s">
        <v>42</v>
      </c>
      <c r="B16" s="22">
        <f>('JSW CFS'!B28+'JSW-Ratio Analysis'!B15)/'JSW CFS'!B2</f>
        <v>0.80740042018608238</v>
      </c>
      <c r="C16" s="22">
        <f>('JSW CFS'!C28+'JSW-Ratio Analysis'!C15)/'JSW CFS'!C2</f>
        <v>1.3552740519953634</v>
      </c>
      <c r="D16" s="22">
        <f>('JSW CFS'!D28+'JSW-Ratio Analysis'!D15)/'JSW CFS'!D2</f>
        <v>0.68998516675439014</v>
      </c>
      <c r="E16" s="22">
        <f>('JSW CFS'!E28+'JSW-Ratio Analysis'!E15)/'JSW CFS'!E2</f>
        <v>0.60539917302798985</v>
      </c>
      <c r="F16" s="8" t="s">
        <v>53</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5A1DD-E20D-49D4-B344-488CDD362EF2}">
  <dimension ref="A1"/>
  <sheetViews>
    <sheetView workbookViewId="0">
      <selection activeCell="W17" sqref="W17"/>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B1B5E-64EE-4B95-8707-8137ECB272ED}">
  <dimension ref="A1:N25"/>
  <sheetViews>
    <sheetView workbookViewId="0">
      <selection activeCell="I1" sqref="I1:N25"/>
    </sheetView>
  </sheetViews>
  <sheetFormatPr defaultRowHeight="14.4" x14ac:dyDescent="0.3"/>
  <cols>
    <col min="1" max="1" width="17.6640625" bestFit="1" customWidth="1"/>
    <col min="3" max="3" width="10.109375" customWidth="1"/>
    <col min="4" max="4" width="14" customWidth="1"/>
    <col min="9" max="9" width="29.77734375" bestFit="1" customWidth="1"/>
    <col min="10" max="10" width="12.88671875" customWidth="1"/>
    <col min="11" max="11" width="12" bestFit="1" customWidth="1"/>
    <col min="12" max="12" width="12.6640625" bestFit="1" customWidth="1"/>
    <col min="13" max="13" width="12" bestFit="1" customWidth="1"/>
  </cols>
  <sheetData>
    <row r="1" spans="1:14" x14ac:dyDescent="0.3">
      <c r="A1" s="38" t="s">
        <v>69</v>
      </c>
      <c r="B1" s="38"/>
      <c r="C1" s="38"/>
      <c r="D1" s="38"/>
      <c r="I1" s="38" t="s">
        <v>85</v>
      </c>
      <c r="J1" s="38"/>
    </row>
    <row r="3" spans="1:14" x14ac:dyDescent="0.3">
      <c r="A3" s="39" t="s">
        <v>71</v>
      </c>
      <c r="B3" s="39"/>
      <c r="C3" s="39"/>
      <c r="D3" s="39"/>
      <c r="I3" s="29" t="s">
        <v>84</v>
      </c>
      <c r="J3" s="30"/>
      <c r="K3" s="8"/>
      <c r="L3" s="8"/>
      <c r="M3" s="8"/>
      <c r="N3" s="8"/>
    </row>
    <row r="4" spans="1:14" x14ac:dyDescent="0.3">
      <c r="A4" s="26" t="s">
        <v>68</v>
      </c>
      <c r="B4" s="20" t="s">
        <v>2</v>
      </c>
      <c r="C4" s="20" t="s">
        <v>3</v>
      </c>
      <c r="D4" s="20" t="s">
        <v>4</v>
      </c>
      <c r="I4" s="26" t="s">
        <v>68</v>
      </c>
      <c r="J4" s="27" t="s">
        <v>77</v>
      </c>
      <c r="K4" s="27" t="s">
        <v>78</v>
      </c>
      <c r="L4" s="27" t="s">
        <v>79</v>
      </c>
      <c r="M4" s="27" t="s">
        <v>80</v>
      </c>
      <c r="N4" s="27" t="s">
        <v>81</v>
      </c>
    </row>
    <row r="5" spans="1:14" x14ac:dyDescent="0.3">
      <c r="A5" s="8" t="s">
        <v>62</v>
      </c>
      <c r="B5" s="8">
        <v>20301</v>
      </c>
      <c r="C5" s="8">
        <v>23138</v>
      </c>
      <c r="D5" s="8">
        <v>35064</v>
      </c>
      <c r="I5" s="8" t="s">
        <v>72</v>
      </c>
      <c r="J5" s="21">
        <v>20301</v>
      </c>
      <c r="K5" s="21">
        <v>12078</v>
      </c>
      <c r="L5" s="21">
        <f>J5-K5</f>
        <v>8223</v>
      </c>
      <c r="M5" s="21">
        <f>J5/(J5+K5)*100</f>
        <v>62.698045029185579</v>
      </c>
      <c r="N5" s="21">
        <f>K5/(J5+K5)*100</f>
        <v>37.301954970814414</v>
      </c>
    </row>
    <row r="6" spans="1:14" x14ac:dyDescent="0.3">
      <c r="A6" s="8" t="s">
        <v>63</v>
      </c>
      <c r="B6" s="8">
        <v>-14251</v>
      </c>
      <c r="C6" s="8">
        <v>-13798</v>
      </c>
      <c r="D6" s="8">
        <v>-14905</v>
      </c>
      <c r="I6" s="8" t="s">
        <v>73</v>
      </c>
      <c r="J6" s="21">
        <v>2569</v>
      </c>
      <c r="K6" s="21">
        <v>-3469</v>
      </c>
      <c r="L6" s="21">
        <f>J6-K6</f>
        <v>6038</v>
      </c>
      <c r="M6" s="21">
        <f>(-J6/(J6+K6)*100)</f>
        <v>285.44444444444446</v>
      </c>
      <c r="N6" s="21">
        <f>(-K6/(J6+K6))</f>
        <v>-3.8544444444444443</v>
      </c>
    </row>
    <row r="7" spans="1:14" x14ac:dyDescent="0.3">
      <c r="A7" s="8" t="s">
        <v>64</v>
      </c>
      <c r="B7" s="8">
        <v>-11097</v>
      </c>
      <c r="C7" s="8">
        <v>-7002</v>
      </c>
      <c r="D7" s="8">
        <v>-21387</v>
      </c>
      <c r="I7" s="8" t="s">
        <v>74</v>
      </c>
      <c r="J7" s="21">
        <v>17731</v>
      </c>
      <c r="K7" s="21">
        <v>15547</v>
      </c>
      <c r="L7" s="21">
        <f>J7-K7</f>
        <v>2184</v>
      </c>
      <c r="M7" s="21">
        <f>J7/(J7+K7)*100</f>
        <v>53.281447202355913</v>
      </c>
      <c r="N7" s="21">
        <f>K7/(J7+K7)*100</f>
        <v>46.718552797644094</v>
      </c>
    </row>
    <row r="8" spans="1:14" x14ac:dyDescent="0.3">
      <c r="A8" s="8" t="s">
        <v>13</v>
      </c>
      <c r="B8" s="8">
        <v>-5048</v>
      </c>
      <c r="C8" s="8">
        <v>2337</v>
      </c>
      <c r="D8" s="8">
        <v>-1228</v>
      </c>
      <c r="I8" s="8" t="s">
        <v>75</v>
      </c>
      <c r="J8" s="21">
        <v>7081</v>
      </c>
      <c r="K8" s="21">
        <v>8030</v>
      </c>
      <c r="L8" s="21">
        <f>J8-K8</f>
        <v>-949</v>
      </c>
      <c r="M8" s="21">
        <f>J8/(J8+K8)*100</f>
        <v>46.859903381642518</v>
      </c>
      <c r="N8" s="21">
        <f>K8/(J8+K8)*100</f>
        <v>53.140096618357489</v>
      </c>
    </row>
    <row r="9" spans="1:14" x14ac:dyDescent="0.3">
      <c r="A9" s="8" t="s">
        <v>65</v>
      </c>
      <c r="B9" s="8">
        <v>2569</v>
      </c>
      <c r="C9" s="8">
        <v>7981</v>
      </c>
      <c r="D9" s="8">
        <v>21368</v>
      </c>
      <c r="I9" s="8" t="s">
        <v>76</v>
      </c>
      <c r="J9" s="21">
        <f>J5/J7</f>
        <v>1.144943883593706</v>
      </c>
      <c r="K9" s="21">
        <f>K5/K7</f>
        <v>0.77687013571750174</v>
      </c>
      <c r="L9" s="21">
        <f>J9-K9</f>
        <v>0.36807374787620428</v>
      </c>
      <c r="M9" s="21"/>
      <c r="N9" s="21"/>
    </row>
    <row r="10" spans="1:14" x14ac:dyDescent="0.3">
      <c r="A10" s="8" t="s">
        <v>66</v>
      </c>
      <c r="B10" s="8">
        <v>17731</v>
      </c>
      <c r="C10" s="8">
        <v>15157</v>
      </c>
      <c r="D10" s="8">
        <v>13696</v>
      </c>
      <c r="J10" s="19"/>
      <c r="K10" s="19"/>
      <c r="L10" s="19"/>
      <c r="M10" s="19"/>
      <c r="N10" s="19"/>
    </row>
    <row r="11" spans="1:14" x14ac:dyDescent="0.3">
      <c r="A11" s="8" t="s">
        <v>67</v>
      </c>
      <c r="B11" s="8">
        <v>7081</v>
      </c>
      <c r="C11" s="8">
        <v>9605</v>
      </c>
      <c r="D11" s="8">
        <v>8885</v>
      </c>
      <c r="I11" s="29" t="s">
        <v>83</v>
      </c>
      <c r="J11" s="30"/>
      <c r="K11" s="21"/>
      <c r="L11" s="21"/>
      <c r="M11" s="21"/>
      <c r="N11" s="21"/>
    </row>
    <row r="12" spans="1:14" x14ac:dyDescent="0.3">
      <c r="I12" s="26" t="s">
        <v>68</v>
      </c>
      <c r="J12" s="28" t="s">
        <v>77</v>
      </c>
      <c r="K12" s="28" t="s">
        <v>78</v>
      </c>
      <c r="L12" s="28" t="s">
        <v>79</v>
      </c>
      <c r="M12" s="28" t="s">
        <v>80</v>
      </c>
      <c r="N12" s="28" t="s">
        <v>81</v>
      </c>
    </row>
    <row r="13" spans="1:14" x14ac:dyDescent="0.3">
      <c r="I13" s="8" t="s">
        <v>72</v>
      </c>
      <c r="J13" s="21">
        <v>23138</v>
      </c>
      <c r="K13" s="21">
        <v>20899</v>
      </c>
      <c r="L13" s="21">
        <f>J13-K13</f>
        <v>2239</v>
      </c>
      <c r="M13" s="21">
        <f>J13/(J13+K13)*100</f>
        <v>52.542180439176143</v>
      </c>
      <c r="N13" s="21">
        <f>K13/(J13+K13)*100</f>
        <v>47.457819560823857</v>
      </c>
    </row>
    <row r="14" spans="1:14" x14ac:dyDescent="0.3">
      <c r="A14" s="39" t="s">
        <v>70</v>
      </c>
      <c r="B14" s="39"/>
      <c r="C14" s="39"/>
      <c r="D14" s="39"/>
      <c r="I14" s="8" t="s">
        <v>73</v>
      </c>
      <c r="J14" s="21">
        <v>7981</v>
      </c>
      <c r="K14" s="21">
        <v>8264</v>
      </c>
      <c r="L14" s="21">
        <f>J14-K14</f>
        <v>-283</v>
      </c>
      <c r="M14" s="21">
        <f>J14/(J14+K14)*100</f>
        <v>49.128962757771625</v>
      </c>
      <c r="N14" s="21">
        <f>K14/(J14+K14)*100</f>
        <v>50.871037242228375</v>
      </c>
    </row>
    <row r="15" spans="1:14" x14ac:dyDescent="0.3">
      <c r="A15" s="26" t="s">
        <v>68</v>
      </c>
      <c r="B15" s="20" t="s">
        <v>2</v>
      </c>
      <c r="C15" s="20" t="s">
        <v>3</v>
      </c>
      <c r="D15" s="20" t="s">
        <v>4</v>
      </c>
      <c r="I15" s="8" t="s">
        <v>74</v>
      </c>
      <c r="J15" s="21">
        <v>15157</v>
      </c>
      <c r="K15" s="21">
        <v>12635</v>
      </c>
      <c r="L15" s="21">
        <f>J15-K15</f>
        <v>2522</v>
      </c>
      <c r="M15" s="21">
        <f>J15/(J15+K15)*100</f>
        <v>54.537276914219923</v>
      </c>
      <c r="N15" s="21">
        <f>K15/(J15+K15)*100</f>
        <v>45.462723085780084</v>
      </c>
    </row>
    <row r="16" spans="1:14" x14ac:dyDescent="0.3">
      <c r="A16" s="8" t="s">
        <v>62</v>
      </c>
      <c r="B16" s="8">
        <v>12078</v>
      </c>
      <c r="C16" s="8">
        <v>20899</v>
      </c>
      <c r="D16" s="8">
        <v>25152</v>
      </c>
      <c r="I16" s="8" t="s">
        <v>75</v>
      </c>
      <c r="J16" s="21">
        <v>9605</v>
      </c>
      <c r="K16" s="21">
        <v>11655</v>
      </c>
      <c r="L16" s="21">
        <f>J16-K16</f>
        <v>-2050</v>
      </c>
      <c r="M16" s="21">
        <f>J16/(J16+K16)*100</f>
        <v>45.17873941674506</v>
      </c>
      <c r="N16" s="21">
        <f>K16/(J16+K16)*100</f>
        <v>54.82126058325494</v>
      </c>
    </row>
    <row r="17" spans="1:14" x14ac:dyDescent="0.3">
      <c r="A17" s="8" t="s">
        <v>63</v>
      </c>
      <c r="B17" s="8">
        <v>-14638</v>
      </c>
      <c r="C17" s="8">
        <v>-16997</v>
      </c>
      <c r="D17" s="8">
        <v>18690</v>
      </c>
      <c r="I17" s="8" t="s">
        <v>76</v>
      </c>
      <c r="J17" s="21">
        <f>J13/J15</f>
        <v>1.5265553869499242</v>
      </c>
      <c r="K17" s="21">
        <f>K13/K15</f>
        <v>1.6540561931143649</v>
      </c>
      <c r="L17" s="21">
        <f>J17-K17</f>
        <v>-0.12750080616444071</v>
      </c>
      <c r="M17" s="21"/>
      <c r="N17" s="21"/>
    </row>
    <row r="18" spans="1:14" x14ac:dyDescent="0.3">
      <c r="A18" s="8" t="s">
        <v>64</v>
      </c>
      <c r="B18" s="8">
        <v>-5005</v>
      </c>
      <c r="C18" s="8">
        <v>-262</v>
      </c>
      <c r="D18" s="8">
        <v>-16111</v>
      </c>
      <c r="J18" s="19"/>
      <c r="K18" s="19"/>
      <c r="L18" s="19"/>
      <c r="M18" s="19"/>
      <c r="N18" s="19"/>
    </row>
    <row r="19" spans="1:14" x14ac:dyDescent="0.3">
      <c r="A19" s="8" t="s">
        <v>13</v>
      </c>
      <c r="B19" s="8">
        <v>-7565</v>
      </c>
      <c r="C19" s="8">
        <v>3640</v>
      </c>
      <c r="D19" s="8">
        <v>27731</v>
      </c>
      <c r="I19" s="29" t="s">
        <v>82</v>
      </c>
      <c r="J19" s="30"/>
      <c r="K19" s="21"/>
      <c r="L19" s="21"/>
      <c r="M19" s="21"/>
      <c r="N19" s="21"/>
    </row>
    <row r="20" spans="1:14" x14ac:dyDescent="0.3">
      <c r="A20" s="8" t="s">
        <v>65</v>
      </c>
      <c r="B20" s="8">
        <v>-3469</v>
      </c>
      <c r="C20" s="8">
        <v>8264</v>
      </c>
      <c r="D20" s="8">
        <v>10610</v>
      </c>
      <c r="I20" s="26" t="s">
        <v>68</v>
      </c>
      <c r="J20" s="28" t="s">
        <v>77</v>
      </c>
      <c r="K20" s="28" t="s">
        <v>78</v>
      </c>
      <c r="L20" s="28" t="s">
        <v>79</v>
      </c>
      <c r="M20" s="28" t="s">
        <v>80</v>
      </c>
      <c r="N20" s="28" t="s">
        <v>81</v>
      </c>
    </row>
    <row r="21" spans="1:14" x14ac:dyDescent="0.3">
      <c r="A21" s="8" t="s">
        <v>66</v>
      </c>
      <c r="B21" s="8">
        <v>15547</v>
      </c>
      <c r="C21" s="8">
        <v>12635</v>
      </c>
      <c r="D21" s="8">
        <v>14542</v>
      </c>
      <c r="I21" s="8" t="s">
        <v>72</v>
      </c>
      <c r="J21" s="21">
        <v>35064</v>
      </c>
      <c r="K21" s="21">
        <v>25152</v>
      </c>
      <c r="L21" s="21">
        <f>J21-K21</f>
        <v>9912</v>
      </c>
      <c r="M21" s="21">
        <f>J21/(J21+K21)*100</f>
        <v>58.230370665603829</v>
      </c>
      <c r="N21" s="21">
        <f>K21/(J21+K21)*100</f>
        <v>41.769629334396171</v>
      </c>
    </row>
    <row r="22" spans="1:14" x14ac:dyDescent="0.3">
      <c r="A22" s="8" t="s">
        <v>67</v>
      </c>
      <c r="B22" s="8">
        <v>8030</v>
      </c>
      <c r="C22" s="8">
        <v>11655</v>
      </c>
      <c r="D22" s="8">
        <v>39256</v>
      </c>
      <c r="I22" s="8" t="s">
        <v>73</v>
      </c>
      <c r="J22" s="21">
        <v>21368</v>
      </c>
      <c r="K22" s="21">
        <v>10610</v>
      </c>
      <c r="L22" s="21">
        <f>J22-K22</f>
        <v>10758</v>
      </c>
      <c r="M22" s="21">
        <f>J22/(J22+K22)*100</f>
        <v>66.820939395834628</v>
      </c>
      <c r="N22" s="21">
        <f>K22/(J22+K22)*100</f>
        <v>33.179060604165365</v>
      </c>
    </row>
    <row r="23" spans="1:14" x14ac:dyDescent="0.3">
      <c r="I23" s="8" t="s">
        <v>74</v>
      </c>
      <c r="J23" s="21">
        <v>13696</v>
      </c>
      <c r="K23" s="21">
        <v>14542</v>
      </c>
      <c r="L23" s="21">
        <f>J23-K23</f>
        <v>-846</v>
      </c>
      <c r="M23" s="21">
        <f>J23/(J23+K23)*100</f>
        <v>48.502018556555001</v>
      </c>
      <c r="N23" s="21">
        <f>K23/(J23+K23)*100</f>
        <v>51.497981443445006</v>
      </c>
    </row>
    <row r="24" spans="1:14" x14ac:dyDescent="0.3">
      <c r="I24" s="8" t="s">
        <v>75</v>
      </c>
      <c r="J24" s="21">
        <v>8885</v>
      </c>
      <c r="K24" s="21">
        <v>39256</v>
      </c>
      <c r="L24" s="21">
        <f>J24-K24</f>
        <v>-30371</v>
      </c>
      <c r="M24" s="21">
        <f>J24/(J24+K24)*100</f>
        <v>18.456201574541449</v>
      </c>
      <c r="N24" s="21">
        <f>K24/(J24+K24)*100</f>
        <v>81.543798425458547</v>
      </c>
    </row>
    <row r="25" spans="1:14" x14ac:dyDescent="0.3">
      <c r="I25" s="8" t="s">
        <v>76</v>
      </c>
      <c r="J25" s="21">
        <f>J21/J23</f>
        <v>2.5601635514018692</v>
      </c>
      <c r="K25" s="21">
        <f>K21/K23</f>
        <v>1.7296107825608582</v>
      </c>
      <c r="L25" s="21">
        <f>J25-K25</f>
        <v>0.83055276884101104</v>
      </c>
      <c r="M25" s="21"/>
      <c r="N25" s="21"/>
    </row>
  </sheetData>
  <mergeCells count="4">
    <mergeCell ref="I1:J1"/>
    <mergeCell ref="A3:D3"/>
    <mergeCell ref="A14:D14"/>
    <mergeCell ref="A1:D1"/>
  </mergeCells>
  <pageMargins left="0.7" right="0.7" top="0.75" bottom="0.75" header="0.3" footer="0.3"/>
  <ignoredErrors>
    <ignoredError sqref="M6:N6"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1A85-9404-4615-A102-D280D2D2BDDD}">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TATA CFS</vt:lpstr>
      <vt:lpstr>TATA-Ratio Analysis</vt:lpstr>
      <vt:lpstr>TATA Summary</vt:lpstr>
      <vt:lpstr>JSW CFS</vt:lpstr>
      <vt:lpstr>JSW-Ratio Analysis</vt:lpstr>
      <vt:lpstr>JSW Summary</vt:lpstr>
      <vt:lpstr>Perfo Analysis</vt:lpstr>
      <vt:lpstr>Combined &amp; Final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mageshsai10@outlook.com</dc:creator>
  <cp:lastModifiedBy>mageshsai10@outlook.com</cp:lastModifiedBy>
  <dcterms:created xsi:type="dcterms:W3CDTF">2026-06-26T05:12:30Z</dcterms:created>
  <dcterms:modified xsi:type="dcterms:W3CDTF">2026-06-26T10:18:38Z</dcterms:modified>
</cp:coreProperties>
</file>