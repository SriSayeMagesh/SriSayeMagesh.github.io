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AA Great Lakes\SEM 3\Aravind\"/>
    </mc:Choice>
  </mc:AlternateContent>
  <xr:revisionPtr revIDLastSave="0" documentId="13_ncr:1_{E0A451C6-27A7-47C4-9F66-AD706E84B2F3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Instructions" sheetId="1" state="hidden" r:id="rId1"/>
    <sheet name="DCF Model" sheetId="2" r:id="rId2"/>
    <sheet name="Assumption_Calculatio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41" i="2"/>
  <c r="B39" i="2"/>
  <c r="B37" i="2"/>
  <c r="B36" i="2"/>
  <c r="K28" i="2"/>
  <c r="J28" i="2"/>
  <c r="I28" i="2"/>
  <c r="H28" i="2"/>
  <c r="G28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G20" i="2"/>
  <c r="G24" i="2" s="1"/>
  <c r="G18" i="2"/>
  <c r="G25" i="2" s="1"/>
  <c r="H20" i="2" l="1"/>
  <c r="G26" i="2"/>
  <c r="H18" i="2"/>
  <c r="G19" i="2"/>
  <c r="G21" i="2" s="1"/>
  <c r="G22" i="2" l="1"/>
  <c r="G23" i="2"/>
  <c r="G27" i="2" s="1"/>
  <c r="H19" i="2"/>
  <c r="H21" i="2" s="1"/>
  <c r="I18" i="2"/>
  <c r="H26" i="2"/>
  <c r="H25" i="2"/>
  <c r="H24" i="2"/>
  <c r="I20" i="2"/>
  <c r="I24" i="2" l="1"/>
  <c r="J20" i="2"/>
  <c r="I19" i="2"/>
  <c r="I21" i="2" s="1"/>
  <c r="J18" i="2"/>
  <c r="I26" i="2"/>
  <c r="I25" i="2"/>
  <c r="H22" i="2"/>
  <c r="H23" i="2"/>
  <c r="H27" i="2" s="1"/>
  <c r="H29" i="2" s="1"/>
  <c r="G29" i="2"/>
  <c r="K18" i="2" l="1"/>
  <c r="J26" i="2"/>
  <c r="J25" i="2"/>
  <c r="J19" i="2"/>
  <c r="J21" i="2" s="1"/>
  <c r="I22" i="2"/>
  <c r="I23" i="2" s="1"/>
  <c r="I27" i="2" s="1"/>
  <c r="J24" i="2"/>
  <c r="K20" i="2"/>
  <c r="K24" i="2" s="1"/>
  <c r="I29" i="2" l="1"/>
  <c r="K26" i="2"/>
  <c r="K25" i="2"/>
  <c r="K19" i="2"/>
  <c r="K21" i="2" s="1"/>
  <c r="J22" i="2"/>
  <c r="J23" i="2" s="1"/>
  <c r="J27" i="2" s="1"/>
  <c r="J29" i="2" l="1"/>
  <c r="G29" i="1"/>
  <c r="G28" i="1"/>
  <c r="J30" i="1"/>
  <c r="I27" i="1"/>
  <c r="J29" i="1"/>
  <c r="F28" i="1"/>
  <c r="I28" i="1"/>
  <c r="I26" i="1"/>
  <c r="G26" i="1"/>
  <c r="F27" i="1"/>
  <c r="F26" i="1"/>
  <c r="J27" i="1"/>
  <c r="I29" i="1"/>
  <c r="H30" i="1"/>
  <c r="I30" i="1"/>
  <c r="J26" i="1"/>
  <c r="K22" i="2"/>
  <c r="K23" i="2"/>
  <c r="K27" i="2" s="1"/>
  <c r="K29" i="2" l="1"/>
  <c r="B32" i="2" s="1"/>
  <c r="B33" i="2"/>
  <c r="B34" i="2" s="1"/>
  <c r="F29" i="1"/>
  <c r="H26" i="1"/>
  <c r="H27" i="1"/>
  <c r="H29" i="1"/>
  <c r="G30" i="1"/>
  <c r="F30" i="1"/>
  <c r="J28" i="1"/>
  <c r="G27" i="1"/>
  <c r="H28" i="1"/>
  <c r="B35" i="2" l="1"/>
  <c r="B38" i="2" s="1"/>
  <c r="B40" i="2" s="1"/>
  <c r="B42" i="2" s="1"/>
</calcChain>
</file>

<file path=xl/sharedStrings.xml><?xml version="1.0" encoding="utf-8"?>
<sst xmlns="http://schemas.openxmlformats.org/spreadsheetml/2006/main" count="136" uniqueCount="127">
  <si>
    <t>DISCOUNTED CASH FLOW (DCF) VALUATION MODEL</t>
  </si>
  <si>
    <t xml:space="preserve"> SECTION 1: VALUATION DRIVERS &amp; ASSUMPTIONS</t>
  </si>
  <si>
    <t>Revenue Forecast Period Growth Rate</t>
  </si>
  <si>
    <t>Percentage growth for FY27E-FY31E</t>
  </si>
  <si>
    <t>(14.6%) is the 5-year average but we deliberately chose a lower number (14%) to be safe and conservative.</t>
  </si>
  <si>
    <t>EBITDA Margin Assumption</t>
  </si>
  <si>
    <t>Operating profit margin</t>
  </si>
  <si>
    <t>CapEx as % of Revenue</t>
  </si>
  <si>
    <t>Expected capital expenditure intensity</t>
  </si>
  <si>
    <t>Net Working Capital change % of Rev</t>
  </si>
  <si>
    <t>Expected operational working capital cycle</t>
  </si>
  <si>
    <t>Weighted Average Cost of Capital (WACC)</t>
  </si>
  <si>
    <t>Required rate of return (Discount Rate)</t>
  </si>
  <si>
    <t>Terminal Growth Rate (g)</t>
  </si>
  <si>
    <t>Stable growth rate to infinity</t>
  </si>
  <si>
    <t>Effective Tax Rate</t>
  </si>
  <si>
    <t>Corporate income tax rate</t>
  </si>
  <si>
    <t>Cash and Equivalents (Cr)</t>
  </si>
  <si>
    <t>Non-operating cash from latest balance sheet</t>
  </si>
  <si>
    <t>Total Debt (Cr)</t>
  </si>
  <si>
    <t>Total borrowings from latest balance sheet</t>
  </si>
  <si>
    <t>Shares Outstanding (Cr)</t>
  </si>
  <si>
    <t>Total number of common shares outstanding</t>
  </si>
  <si>
    <t>Current Market Share Price</t>
  </si>
  <si>
    <t>Latest closing stock price</t>
  </si>
  <si>
    <t xml:space="preserve"> SECTION 2: 5-YEAR HISTORICALS &amp; 5-YEAR PROJECTIONS</t>
  </si>
  <si>
    <t>Line Item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</si>
  <si>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</si>
  <si>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</si>
  <si>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</si>
  <si>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</si>
  <si>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</si>
  <si>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</si>
  <si>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</si>
  <si>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</si>
  <si>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</si>
  <si>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FY31E</t>
  </si>
  <si>
    <t>Revenue from Operations</t>
  </si>
  <si>
    <t>EBITDA</t>
  </si>
  <si>
    <t>Less: Depreciation &amp; Amortisation</t>
  </si>
  <si>
    <t>Operating Profit (EBIT)</t>
  </si>
  <si>
    <t>Less: Taxes</t>
  </si>
  <si>
    <t>Net Operating Profit Less Taxes (NOPAT)</t>
  </si>
  <si>
    <t>Plus: Depreciation &amp; Amortisation</t>
  </si>
  <si>
    <t>Less: Capital Expenditures (CapEx)</t>
  </si>
  <si>
    <t>Less: Change in Working Capital</t>
  </si>
  <si>
    <t>Free Cash Flow to Firm (FCFF)</t>
  </si>
  <si>
    <t>Discount Factor</t>
  </si>
  <si>
    <t>Present Value of FCFF</t>
  </si>
  <si>
    <t xml:space="preserve"> SECTION 3: VALUATION BRIDGE</t>
  </si>
  <si>
    <t>Sum of PV of explicit Cash Flows</t>
  </si>
  <si>
    <t>Cumulative discounted FCFF</t>
  </si>
  <si>
    <t>Terminal Value (Gordon Growth)</t>
  </si>
  <si>
    <t>Valuation beyond forecast horizon</t>
  </si>
  <si>
    <t>PV of Terminal Value</t>
  </si>
  <si>
    <t>Discounted Terminal Value to today</t>
  </si>
  <si>
    <t>Enterprise Value (EV)</t>
  </si>
  <si>
    <t>Sum of explicit and terminal PVs</t>
  </si>
  <si>
    <t>Plus: Cash and Equivalents</t>
  </si>
  <si>
    <t>Non-operating liquidity</t>
  </si>
  <si>
    <t>Less: Total Debt</t>
  </si>
  <si>
    <t>All interest-bearing debt</t>
  </si>
  <si>
    <t>Equity Value</t>
  </si>
  <si>
    <t>Enterprise Value + Cash - Debt</t>
  </si>
  <si>
    <t>Common shares outstanding</t>
  </si>
  <si>
    <t>Implied Share Price (₹)</t>
  </si>
  <si>
    <t>Calculated fair value per share</t>
  </si>
  <si>
    <t>Current Market Price (₹)</t>
  </si>
  <si>
    <t>Current market pricing</t>
  </si>
  <si>
    <t>Implied Premium / (Discount)</t>
  </si>
  <si>
    <t>Upside potential to current price</t>
  </si>
  <si>
    <t>Reusable DCF Financial Modeling Template</t>
  </si>
  <si>
    <t>Welcome to the Reusable Discounted Cash Flow (DCF) Model!</t>
  </si>
  <si>
    <t>This Excel sheet is built dynamically using formulas to value any operating company.</t>
  </si>
  <si>
    <t>Color Coding Guide:</t>
  </si>
  <si>
    <t>Blue Background + Blue Font (e.g. 12.0%)</t>
  </si>
  <si>
    <t>Inputs / Assumptions: Feel free to change these for your target company.</t>
  </si>
  <si>
    <t>White Background + Black Font</t>
  </si>
  <si>
    <t>Calculated Formulas: DO NOT change these, they update automatically.</t>
  </si>
  <si>
    <t>Step-by-Step Instructions:</t>
  </si>
  <si>
    <t>1. Open the 'DCF Model' tab.</t>
  </si>
  <si>
    <t>2. Fill in the 'Historical Financials' section (Columns B to F) with the company's past 5 years of data.</t>
  </si>
  <si>
    <t>3. Go to the 'Valuation Drivers &amp; Assumptions' section on the left and set your forecasts (growth, margins, WACC).</t>
  </si>
  <si>
    <t>4. Enter the company's current Cash, Debt, Shares Outstanding, and current Market Price.</t>
  </si>
  <si>
    <t>5. Check the 'Valuation Metrics' at the top left to see the implied fair share price and upside potential.</t>
  </si>
  <si>
    <t>6. Inspect the 'Sensitivity Matrix' to see how WACC and Terminal Growth Rate changes impact the valuation.</t>
  </si>
  <si>
    <t xml:space="preserve"> SECTION 4: SENSITIVITY MATRIX (IMPLIED SHARE PRICE)</t>
  </si>
  <si>
    <t>WACC / g</t>
  </si>
  <si>
    <t>Factor / Assumption</t>
  </si>
  <si>
    <t>Value in Model</t>
  </si>
  <si>
    <t>The Math (How it was calculated)</t>
  </si>
  <si>
    <t>Layman Explanation (What it means)</t>
  </si>
  <si>
    <t>Revenue Forecast Growth Rate</t>
  </si>
  <si>
    <t>13.5%</t>
  </si>
  <si>
    <t>FY26 EBITDA / FY26 Revenue
(704.56 / 5,266.19) = 13.4%, slightly bumped to 13.5%</t>
  </si>
  <si>
    <t>2.0%</t>
  </si>
  <si>
    <t>Net Working Capital change %</t>
  </si>
  <si>
    <t>1.5%</t>
  </si>
  <si>
    <t>Historical average of NWC changes as a % of Revenue</t>
  </si>
  <si>
    <t>11.5%</t>
  </si>
  <si>
    <t>Cost of Equity × Equity% + Cost of Debt × Debt% × (1 - Tax)</t>
  </si>
  <si>
    <t>4.0%</t>
  </si>
  <si>
    <t>Anchored to India's long-term inflation target (4%)</t>
  </si>
  <si>
    <t>We can't forecast forever. So after 5 years, we assume the company just grows steadily at the same speed as the overall economy (inflation).</t>
  </si>
  <si>
    <t>25.0%</t>
  </si>
  <si>
    <t>Statutory Indian Corporate Tax Rate</t>
  </si>
  <si>
    <t>Cash and Equivalents</t>
  </si>
  <si>
    <t>₹52.80 Cr</t>
  </si>
  <si>
    <t>Exact figure from the latest FY26 Balance Sheet</t>
  </si>
  <si>
    <t>Total Debt</t>
  </si>
  <si>
    <t>₹531.30 Cr</t>
  </si>
  <si>
    <t>Shares Outstanding</t>
  </si>
  <si>
    <t>13.37 Cr</t>
  </si>
  <si>
    <t>Total Equity Capital (53.46) / Face Value per share (4)</t>
  </si>
  <si>
    <t>Latest closing price from the Stock Exchange (NSE/BSE)</t>
  </si>
  <si>
    <t>What one slice of the pie costs to buy on the stock market today.</t>
  </si>
  <si>
    <t>(FY26 Rev / FY22 Rev)^1/n - 1
(5,266 / 3056.04)^1/4 - 1 = 14.0%</t>
  </si>
  <si>
    <t>Did it in a way like CAGR is calculated.</t>
  </si>
  <si>
    <t>Based on Historic trend and growth assuming the 5th year rate.</t>
  </si>
  <si>
    <r>
      <t xml:space="preserve">Average of FY25 &amp; FY26 CapEx divided by Revenue   </t>
    </r>
    <r>
      <rPr>
        <b/>
        <sz val="11"/>
        <color theme="1"/>
        <rFont val="Calibri"/>
        <family val="2"/>
        <scheme val="minor"/>
      </rPr>
      <t>Capital Expenditure ÷ Revenue</t>
    </r>
  </si>
  <si>
    <t>FY22: 0.5% (CapEx: ₹16.6 Cr)
FY23: 1.4% (CapEx: ₹63.2 Cr)
FY24: 1.9% (CapEx: ₹82.2 Cr)
FY25: 2.1% (CapEx: ₹95.8 Cr)
FY26: 2.1% (CapEx: ₹108.9 Cr) so taken average of 2%</t>
  </si>
  <si>
    <t>We use 11.5% as a standard, fair rate for Indian retail companies of this size.</t>
  </si>
  <si>
    <t>The actual money sitting in their bank accounts right now.</t>
  </si>
  <si>
    <t>The standard baseline tax rate set by the Government of India for corporations.</t>
  </si>
  <si>
    <t xml:space="preserve">The total loans they owe to banks right now. </t>
  </si>
  <si>
    <t>₹53.46 Cr equity capital and ₹4 face value belong to Arvind Fashions ltd.</t>
  </si>
  <si>
    <t>This is the cash trapped in day-to-day operations (like unsold clothes in inventory). We use an average to smooth out  bumps.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</si>
</sst>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164" formatCode="0.0%"/>
    <numFmt numFmtId="165" formatCode="\$#,##0.0"/>
    <numFmt numFmtId="166" formatCode="0.0000"/>
    <numFmt numFmtId="167" formatCode="\₹#,##0.00"/>
  </numFmts>
  <fonts count="20" x14ac:knownFonts="1">
    <font>
      <sz val="11"/>
      <color theme="1"/>
      <name val="Calibri"/>
      <family val="2"/>
      <scheme val="minor"/>
    </font>
    <font>
      <b/>
      <sz val="18"/>
      <color rgb="FF1B365D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rgb="FF1A73E8"/>
      <name val="Segoe UI"/>
      <family val="2"/>
    </font>
    <font>
      <b/>
      <sz val="16"/>
      <color rgb="FFFFFFFF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0"/>
      <name val="Times New Roman"/>
      <family val="1"/>
    </font>
    <font>
      <b/>
      <sz val="10"/>
      <color rgb="FF1A73E8"/>
      <name val="Times New Roman"/>
      <family val="1"/>
    </font>
    <font>
      <b/>
      <sz val="12"/>
      <color rgb="FFFFFFFF"/>
      <name val="Times New Roman"/>
      <family val="1"/>
    </font>
    <font>
      <b/>
      <sz val="10"/>
      <color rgb="FFFFFFFF"/>
      <name val="Times New Roman"/>
      <family val="1"/>
    </font>
    <font>
      <sz val="10"/>
      <name val="Times New Roman"/>
      <family val="1"/>
    </font>
    <font>
      <b/>
      <sz val="10"/>
      <color rgb="FF00B050"/>
      <name val="Times New Roman"/>
      <family val="1"/>
    </font>
    <font>
      <sz val="10"/>
      <color rgb="FF00B050"/>
      <name val="Times New Roman"/>
      <family val="1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name val="Times New Roman"/>
      <family val="1"/>
    </font>
    <font>
      <b/>
      <sz val="10"/>
      <color theme="8" tint="-0.24997711111789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F1F3F4"/>
        <bgColor rgb="FFF1F3F4"/>
      </patternFill>
    </fill>
    <fill>
      <patternFill patternType="solid">
        <fgColor rgb="FFFFF2CC"/>
        <bgColor rgb="FFFFF2CC"/>
      </patternFill>
    </fill>
    <fill>
      <patternFill patternType="solid">
        <fgColor theme="5"/>
        <bgColor rgb="FF1B365D"/>
      </patternFill>
    </fill>
    <fill>
      <patternFill patternType="solid">
        <fgColor theme="5"/>
        <bgColor rgb="FF2A4D7C"/>
      </patternFill>
    </fill>
    <fill>
      <patternFill patternType="solid">
        <fgColor theme="2" tint="-0.749992370372631"/>
        <bgColor rgb="FF1B365D"/>
      </patternFill>
    </fill>
    <fill>
      <patternFill patternType="solid">
        <fgColor rgb="FF1B365D"/>
        <bgColor rgb="FF1B365D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64" fontId="3" fillId="3" borderId="0" xfId="0" applyNumberFormat="1" applyFont="1" applyFill="1" applyAlignment="1">
      <alignment horizontal="center" vertical="center"/>
    </xf>
    <xf numFmtId="165" fontId="2" fillId="0" borderId="1" xfId="0" applyNumberFormat="1" applyFont="1" applyBorder="1"/>
    <xf numFmtId="0" fontId="6" fillId="0" borderId="0" xfId="0" applyFont="1"/>
    <xf numFmtId="0" fontId="8" fillId="0" borderId="0" xfId="0" applyFont="1"/>
    <xf numFmtId="0" fontId="11" fillId="7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center" vertical="center"/>
    </xf>
    <xf numFmtId="0" fontId="8" fillId="0" borderId="2" xfId="0" applyFont="1" applyBorder="1"/>
    <xf numFmtId="4" fontId="8" fillId="0" borderId="2" xfId="0" applyNumberFormat="1" applyFont="1" applyBorder="1"/>
    <xf numFmtId="4" fontId="12" fillId="0" borderId="2" xfId="0" applyNumberFormat="1" applyFont="1" applyBorder="1"/>
    <xf numFmtId="0" fontId="12" fillId="0" borderId="2" xfId="0" applyFont="1" applyBorder="1"/>
    <xf numFmtId="0" fontId="6" fillId="0" borderId="2" xfId="0" applyFont="1" applyBorder="1"/>
    <xf numFmtId="166" fontId="12" fillId="0" borderId="2" xfId="0" applyNumberFormat="1" applyFont="1" applyBorder="1"/>
    <xf numFmtId="0" fontId="8" fillId="3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65" fontId="12" fillId="0" borderId="1" xfId="0" applyNumberFormat="1" applyFont="1" applyBorder="1"/>
    <xf numFmtId="165" fontId="8" fillId="4" borderId="1" xfId="0" applyNumberFormat="1" applyFont="1" applyFill="1" applyBorder="1"/>
    <xf numFmtId="4" fontId="9" fillId="0" borderId="2" xfId="0" applyNumberFormat="1" applyFont="1" applyBorder="1"/>
    <xf numFmtId="167" fontId="13" fillId="0" borderId="2" xfId="0" applyNumberFormat="1" applyFont="1" applyBorder="1"/>
    <xf numFmtId="167" fontId="14" fillId="0" borderId="2" xfId="0" applyNumberFormat="1" applyFont="1" applyBorder="1"/>
    <xf numFmtId="164" fontId="13" fillId="0" borderId="2" xfId="0" applyNumberFormat="1" applyFont="1" applyBorder="1"/>
    <xf numFmtId="4" fontId="13" fillId="0" borderId="2" xfId="0" applyNumberFormat="1" applyFont="1" applyBorder="1"/>
    <xf numFmtId="0" fontId="15" fillId="8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10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8" fillId="0" borderId="0" xfId="0" applyFont="1"/>
    <xf numFmtId="0" fontId="18" fillId="0" borderId="2" xfId="0" applyFont="1" applyBorder="1"/>
    <xf numFmtId="164" fontId="19" fillId="0" borderId="0" xfId="0" applyNumberFormat="1" applyFont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0" fontId="10" fillId="6" borderId="0" xfId="0" applyFont="1" applyFill="1" applyAlignment="1">
      <alignment horizontal="left" vertical="center"/>
    </xf>
    <xf numFmtId="0" fontId="0" fillId="0" borderId="0" xfId="0"/>
    <xf numFmtId="0" fontId="7" fillId="6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6" fontId="0" fillId="0" borderId="3" xfId="0" applyNumberFormat="1" applyBorder="1" applyAlignment="1">
      <alignment horizontal="left" vertical="center"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opLeftCell="A15" workbookViewId="0">
      <selection activeCell="A23" sqref="A23:K31"/>
    </sheetView>
  </sheetViews>
  <sheetFormatPr defaultRowHeight="14.4" x14ac:dyDescent="0.3"/>
  <cols>
    <col min="1" max="1" width="40" customWidth="1"/>
    <col min="2" max="2" width="90" customWidth="1"/>
  </cols>
  <sheetData>
    <row r="1" spans="1:2" ht="40.049999999999997" customHeight="1" x14ac:dyDescent="0.6">
      <c r="A1" s="1" t="s">
        <v>71</v>
      </c>
    </row>
    <row r="3" spans="1:2" ht="19.95" customHeight="1" x14ac:dyDescent="0.35">
      <c r="A3" s="2"/>
      <c r="B3" s="2"/>
    </row>
    <row r="4" spans="1:2" ht="19.95" customHeight="1" x14ac:dyDescent="0.35">
      <c r="A4" s="3" t="s">
        <v>72</v>
      </c>
      <c r="B4" s="2"/>
    </row>
    <row r="5" spans="1:2" ht="19.95" customHeight="1" x14ac:dyDescent="0.35">
      <c r="A5" s="2" t="s">
        <v>73</v>
      </c>
      <c r="B5" s="2"/>
    </row>
    <row r="6" spans="1:2" ht="19.95" customHeight="1" x14ac:dyDescent="0.35">
      <c r="A6" s="2"/>
      <c r="B6" s="2"/>
    </row>
    <row r="7" spans="1:2" ht="19.95" customHeight="1" x14ac:dyDescent="0.35">
      <c r="A7" s="3" t="s">
        <v>74</v>
      </c>
      <c r="B7" s="2"/>
    </row>
    <row r="8" spans="1:2" ht="19.95" customHeight="1" x14ac:dyDescent="0.35">
      <c r="A8" s="4" t="s">
        <v>75</v>
      </c>
      <c r="B8" s="2" t="s">
        <v>76</v>
      </c>
    </row>
    <row r="9" spans="1:2" ht="19.95" customHeight="1" x14ac:dyDescent="0.35">
      <c r="A9" s="2" t="s">
        <v>77</v>
      </c>
      <c r="B9" s="2" t="s">
        <v>78</v>
      </c>
    </row>
    <row r="10" spans="1:2" ht="19.95" customHeight="1" x14ac:dyDescent="0.35">
      <c r="A10" s="2"/>
      <c r="B10" s="2"/>
    </row>
    <row r="11" spans="1:2" ht="19.95" customHeight="1" x14ac:dyDescent="0.35">
      <c r="A11" s="3" t="s">
        <v>79</v>
      </c>
      <c r="B11" s="2"/>
    </row>
    <row r="12" spans="1:2" ht="19.95" customHeight="1" x14ac:dyDescent="0.35">
      <c r="A12" s="2" t="s">
        <v>80</v>
      </c>
      <c r="B12" s="2"/>
    </row>
    <row r="13" spans="1:2" ht="19.95" customHeight="1" x14ac:dyDescent="0.35">
      <c r="A13" s="2" t="s">
        <v>81</v>
      </c>
      <c r="B13" s="2"/>
    </row>
    <row r="14" spans="1:2" ht="19.95" customHeight="1" x14ac:dyDescent="0.35">
      <c r="A14" s="2" t="s">
        <v>82</v>
      </c>
      <c r="B14" s="2"/>
    </row>
    <row r="15" spans="1:2" ht="19.95" customHeight="1" x14ac:dyDescent="0.35">
      <c r="A15" s="2" t="s">
        <v>83</v>
      </c>
      <c r="B15" s="2"/>
    </row>
    <row r="16" spans="1:2" ht="19.95" customHeight="1" x14ac:dyDescent="0.35">
      <c r="A16" s="2" t="s">
        <v>84</v>
      </c>
      <c r="B16" s="2"/>
    </row>
    <row r="17" spans="1:11" ht="19.95" customHeight="1" x14ac:dyDescent="0.35">
      <c r="A17" s="2" t="s">
        <v>85</v>
      </c>
      <c r="B17" s="2"/>
    </row>
    <row r="23" spans="1:11" ht="15.6" customHeight="1" x14ac:dyDescent="0.3">
      <c r="A23" s="35" t="s">
        <v>86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</row>
    <row r="24" spans="1:11" x14ac:dyDescent="0.3">
      <c r="A24" s="7"/>
      <c r="B24" s="7"/>
      <c r="C24" s="7"/>
      <c r="D24" s="7"/>
      <c r="E24" s="7"/>
      <c r="F24" s="39" t="s">
        <v>13</v>
      </c>
      <c r="G24" s="36"/>
      <c r="H24" s="36"/>
      <c r="I24" s="36"/>
      <c r="J24" s="36"/>
      <c r="K24" s="7"/>
    </row>
    <row r="25" spans="1:11" x14ac:dyDescent="0.3">
      <c r="A25" s="7"/>
      <c r="B25" s="7"/>
      <c r="C25" s="7"/>
      <c r="D25" s="7"/>
      <c r="E25" s="17" t="s">
        <v>87</v>
      </c>
      <c r="F25" s="18">
        <v>0.03</v>
      </c>
      <c r="G25" s="18">
        <v>3.5000000000000003E-2</v>
      </c>
      <c r="H25" s="18">
        <v>0.04</v>
      </c>
      <c r="I25" s="18">
        <v>4.4999999999999998E-2</v>
      </c>
      <c r="J25" s="18">
        <v>0.05</v>
      </c>
      <c r="K25" s="7"/>
    </row>
    <row r="26" spans="1:11" x14ac:dyDescent="0.3">
      <c r="A26" s="7"/>
      <c r="B26" s="7"/>
      <c r="C26" s="7"/>
      <c r="D26" s="7"/>
      <c r="E26" s="18">
        <v>9.5000000000000001E-2</v>
      </c>
      <c r="F26" s="19">
        <f>((('DCF Model'!G$27/(1+$E26)^1) + ('DCF Model'!H$27/(1+$E26)^2) + ('DCF Model'!I$27/(1+$E26)^3) + ('DCF Model'!J$27/(1+$E26)^4) + ('DCF Model'!K$27/(1+$E26)^5) + ((('DCF Model'!K$27*(1+F$25))/($E26-F$25))/(1+$E26)^5) + 'DCF Model'!$B$11 - 'DCF Model'!$B$12) / 'DCF Model'!$B$13)</f>
        <v>753.29216374334169</v>
      </c>
      <c r="G26" s="19">
        <f>((('DCF Model'!G$27/(1+$E26)^1) + ('DCF Model'!H$27/(1+$E26)^2) + ('DCF Model'!I$27/(1+$E26)^3) + ('DCF Model'!J$27/(1+$E26)^4) + ('DCF Model'!K$27/(1+$E26)^5) + ((('DCF Model'!K$27*(1+G$25))/($E26-G$25))/(1+$E26)^5) + 'DCF Model'!$B$11 - 'DCF Model'!$B$12) / 'DCF Model'!$B$13)</f>
        <v>807.41753866706495</v>
      </c>
      <c r="H26" s="19">
        <f>((('DCF Model'!G$27/(1+$E26)^1) + ('DCF Model'!H$27/(1+$E26)^2) + ('DCF Model'!I$27/(1+$E26)^3) + ('DCF Model'!J$27/(1+$E26)^4) + ('DCF Model'!K$27/(1+$E26)^5) + ((('DCF Model'!K$27*(1+H$25))/($E26-H$25))/(1+$E26)^5) + 'DCF Model'!$B$11 - 'DCF Model'!$B$12) / 'DCF Model'!$B$13)</f>
        <v>871.38389084964683</v>
      </c>
      <c r="I26" s="19">
        <f>((('DCF Model'!G$27/(1+$E26)^1) + ('DCF Model'!H$27/(1+$E26)^2) + ('DCF Model'!I$27/(1+$E26)^3) + ('DCF Model'!J$27/(1+$E26)^4) + ('DCF Model'!K$27/(1+$E26)^5) + ((('DCF Model'!K$27*(1+I$25))/($E26-I$25))/(1+$E26)^5) + 'DCF Model'!$B$11 - 'DCF Model'!$B$12) / 'DCF Model'!$B$13)</f>
        <v>948.14351346874514</v>
      </c>
      <c r="J26" s="19">
        <f>((('DCF Model'!G$27/(1+$E26)^1) + ('DCF Model'!H$27/(1+$E26)^2) + ('DCF Model'!I$27/(1+$E26)^3) + ('DCF Model'!J$27/(1+$E26)^4) + ('DCF Model'!K$27/(1+$E26)^5) + ((('DCF Model'!K$27*(1+J$25))/($E26-J$25))/(1+$E26)^5) + 'DCF Model'!$B$11 - 'DCF Model'!$B$12) / 'DCF Model'!$B$13)</f>
        <v>1041.9608300031987</v>
      </c>
      <c r="K26" s="7"/>
    </row>
    <row r="27" spans="1:11" x14ac:dyDescent="0.3">
      <c r="A27" s="7"/>
      <c r="B27" s="7"/>
      <c r="C27" s="7"/>
      <c r="D27" s="7"/>
      <c r="E27" s="18">
        <v>0.105</v>
      </c>
      <c r="F27" s="19">
        <f>((('DCF Model'!G$27/(1+$E27)^1) + ('DCF Model'!H$27/(1+$E27)^2) + ('DCF Model'!I$27/(1+$E27)^3) + ('DCF Model'!J$27/(1+$E27)^4) + ('DCF Model'!K$27/(1+$E27)^5) + ((('DCF Model'!K$27*(1+F$25))/($E27-F$25))/(1+$E27)^5) + 'DCF Model'!$B$11 - 'DCF Model'!$B$12) / 'DCF Model'!$B$13)</f>
        <v>643.39777837367762</v>
      </c>
      <c r="G27" s="19">
        <f>((('DCF Model'!G$27/(1+$E27)^1) + ('DCF Model'!H$27/(1+$E27)^2) + ('DCF Model'!I$27/(1+$E27)^3) + ('DCF Model'!J$27/(1+$E27)^4) + ('DCF Model'!K$27/(1+$E27)^5) + ((('DCF Model'!K$27*(1+G$25))/($E27-G$25))/(1+$E27)^5) + 'DCF Model'!$B$11 - 'DCF Model'!$B$12) / 'DCF Model'!$B$13)</f>
        <v>682.16936608964181</v>
      </c>
      <c r="H27" s="19">
        <f>((('DCF Model'!G$27/(1+$E27)^1) + ('DCF Model'!H$27/(1+$E27)^2) + ('DCF Model'!I$27/(1+$E27)^3) + ('DCF Model'!J$27/(1+$E27)^4) + ('DCF Model'!K$27/(1+$E27)^5) + ((('DCF Model'!K$27*(1+H$25))/($E27-H$25))/(1+$E27)^5) + 'DCF Model'!$B$11 - 'DCF Model'!$B$12) / 'DCF Model'!$B$13)</f>
        <v>726.90581345421583</v>
      </c>
      <c r="I27" s="19">
        <f>((('DCF Model'!G$27/(1+$E27)^1) + ('DCF Model'!H$27/(1+$E27)^2) + ('DCF Model'!I$27/(1+$E27)^3) + ('DCF Model'!J$27/(1+$E27)^4) + ('DCF Model'!K$27/(1+$E27)^5) + ((('DCF Model'!K$27*(1+I$25))/($E27-I$25))/(1+$E27)^5) + 'DCF Model'!$B$11 - 'DCF Model'!$B$12) / 'DCF Model'!$B$13)</f>
        <v>779.0983353795524</v>
      </c>
      <c r="J27" s="19">
        <f>((('DCF Model'!G$27/(1+$E27)^1) + ('DCF Model'!H$27/(1+$E27)^2) + ('DCF Model'!I$27/(1+$E27)^3) + ('DCF Model'!J$27/(1+$E27)^4) + ('DCF Model'!K$27/(1+$E27)^5) + ((('DCF Model'!K$27*(1+J$25))/($E27-J$25))/(1+$E27)^5) + 'DCF Model'!$B$11 - 'DCF Model'!$B$12) / 'DCF Model'!$B$13)</f>
        <v>840.78040674585918</v>
      </c>
      <c r="K27" s="7"/>
    </row>
    <row r="28" spans="1:11" x14ac:dyDescent="0.3">
      <c r="A28" s="7"/>
      <c r="B28" s="7"/>
      <c r="C28" s="7"/>
      <c r="D28" s="7"/>
      <c r="E28" s="18">
        <v>0.115</v>
      </c>
      <c r="F28" s="19">
        <f>((('DCF Model'!G$27/(1+$E28)^1) + ('DCF Model'!H$27/(1+$E28)^2) + ('DCF Model'!I$27/(1+$E28)^3) + ('DCF Model'!J$27/(1+$E28)^4) + ('DCF Model'!K$27/(1+$E28)^5) + ((('DCF Model'!K$27*(1+F$25))/($E28-F$25))/(1+$E28)^5) + 'DCF Model'!$B$11 - 'DCF Model'!$B$12) / 'DCF Model'!$B$13)</f>
        <v>559.50887969558778</v>
      </c>
      <c r="G28" s="19">
        <f>((('DCF Model'!G$27/(1+$E28)^1) + ('DCF Model'!H$27/(1+$E28)^2) + ('DCF Model'!I$27/(1+$E28)^3) + ('DCF Model'!J$27/(1+$E28)^4) + ('DCF Model'!K$27/(1+$E28)^5) + ((('DCF Model'!K$27*(1+G$25))/($E28-G$25))/(1+$E28)^5) + 'DCF Model'!$B$11 - 'DCF Model'!$B$12) / 'DCF Model'!$B$13)</f>
        <v>588.38332295725695</v>
      </c>
      <c r="H28" s="20">
        <f>((('DCF Model'!G$27/(1+$E28)^1) + ('DCF Model'!H$27/(1+$E28)^2) + ('DCF Model'!I$27/(1+$E28)^3) + ('DCF Model'!J$27/(1+$E28)^4) + ('DCF Model'!K$27/(1+$E28)^5) + ((('DCF Model'!K$27*(1+H$25))/($E28-H$25))/(1+$E28)^5) + 'DCF Model'!$B$11 - 'DCF Model'!$B$12) / 'DCF Model'!$B$13)</f>
        <v>621.10769198714877</v>
      </c>
      <c r="I28" s="19">
        <f>((('DCF Model'!G$27/(1+$E28)^1) + ('DCF Model'!H$27/(1+$E28)^2) + ('DCF Model'!I$27/(1+$E28)^3) + ('DCF Model'!J$27/(1+$E28)^4) + ('DCF Model'!K$27/(1+$E28)^5) + ((('DCF Model'!K$27*(1+I$25))/($E28-I$25))/(1+$E28)^5) + 'DCF Model'!$B$11 - 'DCF Model'!$B$12) / 'DCF Model'!$B$13)</f>
        <v>658.50697087845367</v>
      </c>
      <c r="J28" s="19">
        <f>((('DCF Model'!G$27/(1+$E28)^1) + ('DCF Model'!H$27/(1+$E28)^2) + ('DCF Model'!I$27/(1+$E28)^3) + ('DCF Model'!J$27/(1+$E28)^4) + ('DCF Model'!K$27/(1+$E28)^5) + ((('DCF Model'!K$27*(1+J$25))/($E28-J$25))/(1+$E28)^5) + 'DCF Model'!$B$11 - 'DCF Model'!$B$12) / 'DCF Model'!$B$13)</f>
        <v>701.65998498380577</v>
      </c>
      <c r="K28" s="7"/>
    </row>
    <row r="29" spans="1:11" x14ac:dyDescent="0.3">
      <c r="A29" s="7"/>
      <c r="B29" s="7"/>
      <c r="C29" s="7"/>
      <c r="D29" s="7"/>
      <c r="E29" s="18">
        <v>0.125</v>
      </c>
      <c r="F29" s="19">
        <f>((('DCF Model'!G$27/(1+$E29)^1) + ('DCF Model'!H$27/(1+$E29)^2) + ('DCF Model'!I$27/(1+$E29)^3) + ('DCF Model'!J$27/(1+$E29)^4) + ('DCF Model'!K$27/(1+$E29)^5) + ((('DCF Model'!K$27*(1+F$25))/($E29-F$25))/(1+$E29)^5) + 'DCF Model'!$B$11 - 'DCF Model'!$B$12) / 'DCF Model'!$B$13)</f>
        <v>493.40706779724451</v>
      </c>
      <c r="G29" s="19">
        <f>((('DCF Model'!G$27/(1+$E29)^1) + ('DCF Model'!H$27/(1+$E29)^2) + ('DCF Model'!I$27/(1+$E29)^3) + ('DCF Model'!J$27/(1+$E29)^4) + ('DCF Model'!K$27/(1+$E29)^5) + ((('DCF Model'!K$27*(1+G$25))/($E29-G$25))/(1+$E29)^5) + 'DCF Model'!$B$11 - 'DCF Model'!$B$12) / 'DCF Model'!$B$13)</f>
        <v>515.56584530923885</v>
      </c>
      <c r="H29" s="19">
        <f>((('DCF Model'!G$27/(1+$E29)^1) + ('DCF Model'!H$27/(1+$E29)^2) + ('DCF Model'!I$27/(1+$E29)^3) + ('DCF Model'!J$27/(1+$E29)^4) + ('DCF Model'!K$27/(1+$E29)^5) + ((('DCF Model'!K$27*(1+H$25))/($E29-H$25))/(1+$E29)^5) + 'DCF Model'!$B$11 - 'DCF Model'!$B$12) / 'DCF Model'!$B$13)</f>
        <v>540.33153782264435</v>
      </c>
      <c r="I29" s="19">
        <f>((('DCF Model'!G$27/(1+$E29)^1) + ('DCF Model'!H$27/(1+$E29)^2) + ('DCF Model'!I$27/(1+$E29)^3) + ('DCF Model'!J$27/(1+$E29)^4) + ('DCF Model'!K$27/(1+$E29)^5) + ((('DCF Model'!K$27*(1+I$25))/($E29-I$25))/(1+$E29)^5) + 'DCF Model'!$B$11 - 'DCF Model'!$B$12) / 'DCF Model'!$B$13)</f>
        <v>568.19294190022538</v>
      </c>
      <c r="J29" s="19">
        <f>((('DCF Model'!G$27/(1+$E29)^1) + ('DCF Model'!H$27/(1+$E29)^2) + ('DCF Model'!I$27/(1+$E29)^3) + ('DCF Model'!J$27/(1+$E29)^4) + ('DCF Model'!K$27/(1+$E29)^5) + ((('DCF Model'!K$27*(1+J$25))/($E29-J$25))/(1+$E29)^5) + 'DCF Model'!$B$11 - 'DCF Model'!$B$12) / 'DCF Model'!$B$13)</f>
        <v>599.76919985481732</v>
      </c>
      <c r="K29" s="7"/>
    </row>
    <row r="30" spans="1:11" ht="15" customHeight="1" x14ac:dyDescent="0.35">
      <c r="E30" s="5">
        <v>0.13500000000000001</v>
      </c>
      <c r="F30" s="6">
        <f>((('DCF Model'!G$27/(1+$E30)^1) + ('DCF Model'!H$27/(1+$E30)^2) + ('DCF Model'!I$27/(1+$E30)^3) + ('DCF Model'!J$27/(1+$E30)^4) + ('DCF Model'!K$27/(1+$E30)^5) + ((('DCF Model'!K$27*(1+F$25))/($E30-F$25))/(1+$E30)^5) + 'DCF Model'!$B$11 - 'DCF Model'!$B$12) / 'DCF Model'!$B$13)</f>
        <v>440.00507242846339</v>
      </c>
      <c r="G30" s="6">
        <f>((('DCF Model'!G$27/(1+$E30)^1) + ('DCF Model'!H$27/(1+$E30)^2) + ('DCF Model'!I$27/(1+$E30)^3) + ('DCF Model'!J$27/(1+$E30)^4) + ('DCF Model'!K$27/(1+$E30)^5) + ((('DCF Model'!K$27*(1+G$25))/($E30-G$25))/(1+$E30)^5) + 'DCF Model'!$B$11 - 'DCF Model'!$B$12) / 'DCF Model'!$B$13)</f>
        <v>457.42110612281539</v>
      </c>
      <c r="H30" s="6">
        <f>((('DCF Model'!G$27/(1+$E30)^1) + ('DCF Model'!H$27/(1+$E30)^2) + ('DCF Model'!I$27/(1+$E30)^3) + ('DCF Model'!J$27/(1+$E30)^4) + ('DCF Model'!K$27/(1+$E30)^5) + ((('DCF Model'!K$27*(1+H$25))/($E30-H$25))/(1+$E30)^5) + 'DCF Model'!$B$11 - 'DCF Model'!$B$12) / 'DCF Model'!$B$13)</f>
        <v>476.67040652183613</v>
      </c>
      <c r="I30" s="6">
        <f>((('DCF Model'!G$27/(1+$E30)^1) + ('DCF Model'!H$27/(1+$E30)^2) + ('DCF Model'!I$27/(1+$E30)^3) + ('DCF Model'!J$27/(1+$E30)^4) + ('DCF Model'!K$27/(1+$E30)^5) + ((('DCF Model'!K$27*(1+I$25))/($E30-I$25))/(1+$E30)^5) + 'DCF Model'!$B$11 - 'DCF Model'!$B$12) / 'DCF Model'!$B$13)</f>
        <v>498.05851807630341</v>
      </c>
      <c r="J30" s="6">
        <f>((('DCF Model'!G$27/(1+$E30)^1) + ('DCF Model'!H$27/(1+$E30)^2) + ('DCF Model'!I$27/(1+$E30)^3) + ('DCF Model'!J$27/(1+$E30)^4) + ('DCF Model'!K$27/(1+$E30)^5) + ((('DCF Model'!K$27*(1+J$25))/($E30-J$25))/(1+$E30)^5) + 'DCF Model'!$B$11 - 'DCF Model'!$B$12) / 'DCF Model'!$B$13)</f>
        <v>521.96287804894348</v>
      </c>
    </row>
  </sheetData>
  <mergeCells count="2">
    <mergeCell ref="F24:J24"/>
    <mergeCell ref="A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opLeftCell="A24" zoomScale="106" workbookViewId="0">
      <selection activeCell="E12" sqref="E12"/>
    </sheetView>
  </sheetViews>
  <sheetFormatPr defaultRowHeight="14.4" x14ac:dyDescent="0.3"/>
  <cols>
    <col min="1" max="1" width="38" customWidth="1"/>
    <col min="2" max="2" width="13" customWidth="1"/>
    <col min="3" max="3" width="30.88671875" bestFit="1" customWidth="1"/>
    <col min="4" max="11" width="13" customWidth="1"/>
  </cols>
  <sheetData>
    <row r="1" spans="1:11" ht="36.6" customHeight="1" x14ac:dyDescent="0.3">
      <c r="A1" s="38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.6" customHeight="1" x14ac:dyDescent="0.3">
      <c r="A3" s="37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ht="19.95" customHeight="1" x14ac:dyDescent="0.3">
      <c r="A4" s="8" t="s">
        <v>2</v>
      </c>
      <c r="B4" s="33">
        <v>0.14000000000000001</v>
      </c>
      <c r="C4" s="31" t="s">
        <v>3</v>
      </c>
      <c r="D4" s="7"/>
      <c r="E4" s="7"/>
      <c r="F4" s="7" t="s">
        <v>4</v>
      </c>
      <c r="G4" s="7"/>
      <c r="H4" s="7"/>
      <c r="I4" s="7"/>
      <c r="J4" s="7"/>
      <c r="K4" s="7"/>
    </row>
    <row r="5" spans="1:11" ht="19.95" customHeight="1" x14ac:dyDescent="0.3">
      <c r="A5" s="8" t="s">
        <v>5</v>
      </c>
      <c r="B5" s="33">
        <v>0.13500000000000001</v>
      </c>
      <c r="C5" s="31" t="s">
        <v>6</v>
      </c>
      <c r="D5" s="7"/>
      <c r="E5" s="7"/>
      <c r="F5" s="7"/>
      <c r="G5" s="7"/>
      <c r="H5" s="7"/>
      <c r="I5" s="7"/>
      <c r="J5" s="7"/>
      <c r="K5" s="7"/>
    </row>
    <row r="6" spans="1:11" ht="19.95" customHeight="1" x14ac:dyDescent="0.3">
      <c r="A6" s="8" t="s">
        <v>7</v>
      </c>
      <c r="B6" s="33">
        <v>0.02</v>
      </c>
      <c r="C6" s="31" t="s">
        <v>8</v>
      </c>
      <c r="D6" s="7"/>
      <c r="E6" s="7"/>
      <c r="F6" s="7"/>
      <c r="G6" s="7"/>
      <c r="H6" s="7"/>
      <c r="I6" s="7"/>
      <c r="J6" s="7"/>
      <c r="K6" s="7"/>
    </row>
    <row r="7" spans="1:11" ht="19.95" customHeight="1" x14ac:dyDescent="0.3">
      <c r="A7" s="8" t="s">
        <v>9</v>
      </c>
      <c r="B7" s="33">
        <v>1.4999999999999999E-2</v>
      </c>
      <c r="C7" s="31" t="s">
        <v>10</v>
      </c>
      <c r="D7" s="7"/>
      <c r="E7" s="7"/>
      <c r="F7" s="7"/>
      <c r="G7" s="7"/>
      <c r="H7" s="7"/>
      <c r="I7" s="7"/>
      <c r="J7" s="7"/>
      <c r="K7" s="7"/>
    </row>
    <row r="8" spans="1:11" ht="19.95" customHeight="1" x14ac:dyDescent="0.3">
      <c r="A8" s="8" t="s">
        <v>11</v>
      </c>
      <c r="B8" s="33">
        <v>0.115</v>
      </c>
      <c r="C8" s="31" t="s">
        <v>12</v>
      </c>
      <c r="D8" s="7"/>
      <c r="E8" s="7"/>
      <c r="F8" s="7"/>
      <c r="G8" s="7"/>
      <c r="H8" s="7"/>
      <c r="I8" s="7"/>
      <c r="J8" s="7"/>
      <c r="K8" s="7"/>
    </row>
    <row r="9" spans="1:11" ht="19.95" customHeight="1" x14ac:dyDescent="0.3">
      <c r="A9" s="8" t="s">
        <v>13</v>
      </c>
      <c r="B9" s="33">
        <v>0.04</v>
      </c>
      <c r="C9" s="31" t="s">
        <v>14</v>
      </c>
      <c r="D9" s="7"/>
      <c r="E9" s="7"/>
      <c r="F9" s="7"/>
      <c r="G9" s="7"/>
      <c r="H9" s="7"/>
      <c r="I9" s="7"/>
      <c r="J9" s="7"/>
      <c r="K9" s="7"/>
    </row>
    <row r="10" spans="1:11" ht="19.95" customHeight="1" x14ac:dyDescent="0.3">
      <c r="A10" s="8" t="s">
        <v>15</v>
      </c>
      <c r="B10" s="33">
        <v>0.25</v>
      </c>
      <c r="C10" s="31" t="s">
        <v>16</v>
      </c>
      <c r="D10" s="7"/>
      <c r="E10" s="7"/>
      <c r="F10" s="7"/>
      <c r="G10" s="7"/>
      <c r="H10" s="7"/>
      <c r="I10" s="7"/>
      <c r="J10" s="7"/>
      <c r="K10" s="7"/>
    </row>
    <row r="11" spans="1:11" ht="19.95" customHeight="1" x14ac:dyDescent="0.3">
      <c r="A11" s="8" t="s">
        <v>17</v>
      </c>
      <c r="B11" s="34">
        <v>52.8</v>
      </c>
      <c r="C11" s="31" t="s">
        <v>18</v>
      </c>
      <c r="D11" s="7"/>
      <c r="E11" s="7"/>
      <c r="F11" s="7"/>
      <c r="G11" s="7"/>
      <c r="H11" s="7"/>
      <c r="I11" s="7"/>
      <c r="J11" s="7"/>
      <c r="K11" s="7"/>
    </row>
    <row r="12" spans="1:11" ht="19.95" customHeight="1" x14ac:dyDescent="0.3">
      <c r="A12" s="8" t="s">
        <v>19</v>
      </c>
      <c r="B12" s="34">
        <v>531.29999999999995</v>
      </c>
      <c r="C12" s="31" t="s">
        <v>20</v>
      </c>
      <c r="D12" s="7"/>
      <c r="E12" s="7"/>
      <c r="F12" s="7"/>
      <c r="G12" s="7"/>
      <c r="H12" s="7"/>
      <c r="I12" s="7"/>
      <c r="J12" s="7"/>
      <c r="K12" s="7"/>
    </row>
    <row r="13" spans="1:11" ht="19.95" customHeight="1" x14ac:dyDescent="0.3">
      <c r="A13" s="8" t="s">
        <v>21</v>
      </c>
      <c r="B13" s="34">
        <v>13.365</v>
      </c>
      <c r="C13" s="31" t="s">
        <v>22</v>
      </c>
      <c r="D13" s="7"/>
      <c r="E13" s="7"/>
      <c r="F13" s="7"/>
      <c r="G13" s="7"/>
      <c r="H13" s="7"/>
      <c r="I13" s="7"/>
      <c r="J13" s="7"/>
      <c r="K13" s="7"/>
    </row>
    <row r="14" spans="1:11" ht="19.95" customHeight="1" x14ac:dyDescent="0.3">
      <c r="A14" s="8" t="s">
        <v>23</v>
      </c>
      <c r="B14" s="34">
        <v>426</v>
      </c>
      <c r="C14" s="31" t="s">
        <v>24</v>
      </c>
      <c r="D14" s="7"/>
      <c r="E14" s="7"/>
      <c r="F14" s="7"/>
      <c r="G14" s="7"/>
      <c r="H14" s="7"/>
      <c r="I14" s="7"/>
      <c r="J14" s="7"/>
      <c r="K14" s="7"/>
    </row>
    <row r="15" spans="1:1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28.05" customHeight="1" x14ac:dyDescent="0.3">
      <c r="A16" s="35" t="s">
        <v>25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1:11" ht="19.95" customHeight="1" x14ac:dyDescent="0.3">
      <c r="A17" s="9" t="s">
        <v>26</v>
      </c>
      <c r="B17" s="10" t="s">
        <v>27</v>
      </c>
      <c r="C17" s="10" t="s">
        <v>28</v>
      </c>
      <c r="D17" s="10" t="s">
        <v>29</v>
      </c>
      <c r="E17" s="10" t="s">
        <v>30</v>
      </c>
      <c r="F17" s="10" t="s">
        <v>31</v>
      </c>
      <c r="G17" s="10" t="s">
        <v>32</v>
      </c>
      <c r="H17" s="10" t="s">
        <v>33</v>
      </c>
      <c r="I17" s="10" t="s">
        <v>34</v>
      </c>
      <c r="J17" s="10" t="s">
        <v>35</v>
      </c>
      <c r="K17" s="10" t="s">
        <v>36</v>
      </c>
    </row>
    <row r="18" spans="1:11" ht="19.95" customHeight="1" x14ac:dyDescent="0.3">
      <c r="A18" s="11" t="s">
        <v>37</v>
      </c>
      <c r="B18" s="21">
        <v>3056.04</v>
      </c>
      <c r="C18" s="21">
        <v>4421.08</v>
      </c>
      <c r="D18" s="21">
        <v>4259.12</v>
      </c>
      <c r="E18" s="21">
        <v>4619.84</v>
      </c>
      <c r="F18" s="21">
        <v>5266.19</v>
      </c>
      <c r="G18" s="12">
        <f>F18*(1+$B$4)</f>
        <v>6003.4566000000004</v>
      </c>
      <c r="H18" s="12">
        <f>G18*(1+$B$4)</f>
        <v>6843.9405240000015</v>
      </c>
      <c r="I18" s="12">
        <f>H18*(1+$B$4)</f>
        <v>7802.0921973600025</v>
      </c>
      <c r="J18" s="12">
        <f>I18*(1+$B$4)</f>
        <v>8894.3851049904042</v>
      </c>
      <c r="K18" s="12">
        <f>J18*(1+$B$4)</f>
        <v>10139.599019689062</v>
      </c>
    </row>
    <row r="19" spans="1:11" ht="19.95" customHeight="1" x14ac:dyDescent="0.3">
      <c r="A19" s="11" t="s">
        <v>38</v>
      </c>
      <c r="B19" s="21">
        <v>180.16</v>
      </c>
      <c r="C19" s="21">
        <v>452.64</v>
      </c>
      <c r="D19" s="21">
        <v>510.53</v>
      </c>
      <c r="E19" s="21">
        <v>602</v>
      </c>
      <c r="F19" s="21">
        <v>704.56</v>
      </c>
      <c r="G19" s="13">
        <f>G18*$B$5</f>
        <v>810.4666410000001</v>
      </c>
      <c r="H19" s="13">
        <f>H18*$B$5</f>
        <v>923.93197074000022</v>
      </c>
      <c r="I19" s="13">
        <f>I18*$B$5</f>
        <v>1053.2824466436005</v>
      </c>
      <c r="J19" s="13">
        <f>J18*$B$5</f>
        <v>1200.7419891737047</v>
      </c>
      <c r="K19" s="13">
        <f>K18*$B$5</f>
        <v>1368.8458676580235</v>
      </c>
    </row>
    <row r="20" spans="1:11" ht="19.95" customHeight="1" x14ac:dyDescent="0.3">
      <c r="A20" s="11" t="s">
        <v>39</v>
      </c>
      <c r="B20" s="21">
        <v>233</v>
      </c>
      <c r="C20" s="21">
        <v>238.73</v>
      </c>
      <c r="D20" s="21">
        <v>230.08</v>
      </c>
      <c r="E20" s="21">
        <v>255.72</v>
      </c>
      <c r="F20" s="21">
        <v>289.68</v>
      </c>
      <c r="G20" s="13">
        <f>F20*(1+$B$4)</f>
        <v>330.23520000000002</v>
      </c>
      <c r="H20" s="13">
        <f>G20*(1+$B$4)</f>
        <v>376.46812800000009</v>
      </c>
      <c r="I20" s="13">
        <f>H20*(1+$B$4)</f>
        <v>429.17366592000013</v>
      </c>
      <c r="J20" s="13">
        <f>I20*(1+$B$4)</f>
        <v>489.25797914880019</v>
      </c>
      <c r="K20" s="13">
        <f>J20*(1+$B$4)</f>
        <v>557.7540962296323</v>
      </c>
    </row>
    <row r="21" spans="1:11" ht="19.95" customHeight="1" x14ac:dyDescent="0.3">
      <c r="A21" s="11" t="s">
        <v>40</v>
      </c>
      <c r="B21" s="12">
        <f t="shared" ref="B21:K21" si="0">B19-B20</f>
        <v>-52.84</v>
      </c>
      <c r="C21" s="12">
        <f t="shared" si="0"/>
        <v>213.91</v>
      </c>
      <c r="D21" s="12">
        <f t="shared" si="0"/>
        <v>280.44999999999993</v>
      </c>
      <c r="E21" s="12">
        <f t="shared" si="0"/>
        <v>346.28</v>
      </c>
      <c r="F21" s="12">
        <f t="shared" si="0"/>
        <v>414.87999999999994</v>
      </c>
      <c r="G21" s="12">
        <f t="shared" si="0"/>
        <v>480.23144100000007</v>
      </c>
      <c r="H21" s="12">
        <f t="shared" si="0"/>
        <v>547.46384274000013</v>
      </c>
      <c r="I21" s="12">
        <f t="shared" si="0"/>
        <v>624.10878072360038</v>
      </c>
      <c r="J21" s="12">
        <f t="shared" si="0"/>
        <v>711.48401002490459</v>
      </c>
      <c r="K21" s="12">
        <f t="shared" si="0"/>
        <v>811.09177142839121</v>
      </c>
    </row>
    <row r="22" spans="1:11" ht="19.95" customHeight="1" x14ac:dyDescent="0.3">
      <c r="A22" s="11" t="s">
        <v>41</v>
      </c>
      <c r="B22" s="13">
        <f t="shared" ref="B22:K22" si="1">MAX(0, B21*$B$10)</f>
        <v>0</v>
      </c>
      <c r="C22" s="13">
        <f t="shared" si="1"/>
        <v>53.477499999999999</v>
      </c>
      <c r="D22" s="13">
        <f t="shared" si="1"/>
        <v>70.112499999999983</v>
      </c>
      <c r="E22" s="13">
        <f t="shared" si="1"/>
        <v>86.57</v>
      </c>
      <c r="F22" s="13">
        <f t="shared" si="1"/>
        <v>103.71999999999998</v>
      </c>
      <c r="G22" s="13">
        <f t="shared" si="1"/>
        <v>120.05786025000002</v>
      </c>
      <c r="H22" s="13">
        <f t="shared" si="1"/>
        <v>136.86596068500003</v>
      </c>
      <c r="I22" s="13">
        <f t="shared" si="1"/>
        <v>156.02719518090009</v>
      </c>
      <c r="J22" s="13">
        <f t="shared" si="1"/>
        <v>177.87100250622615</v>
      </c>
      <c r="K22" s="13">
        <f t="shared" si="1"/>
        <v>202.7729428570978</v>
      </c>
    </row>
    <row r="23" spans="1:11" ht="19.95" customHeight="1" x14ac:dyDescent="0.3">
      <c r="A23" s="11" t="s">
        <v>42</v>
      </c>
      <c r="B23" s="12">
        <f t="shared" ref="B23:K23" si="2">B21-B22</f>
        <v>-52.84</v>
      </c>
      <c r="C23" s="12">
        <f t="shared" si="2"/>
        <v>160.4325</v>
      </c>
      <c r="D23" s="12">
        <f t="shared" si="2"/>
        <v>210.33749999999995</v>
      </c>
      <c r="E23" s="12">
        <f t="shared" si="2"/>
        <v>259.70999999999998</v>
      </c>
      <c r="F23" s="12">
        <f t="shared" si="2"/>
        <v>311.15999999999997</v>
      </c>
      <c r="G23" s="12">
        <f t="shared" si="2"/>
        <v>360.17358075000004</v>
      </c>
      <c r="H23" s="12">
        <f t="shared" si="2"/>
        <v>410.59788205500013</v>
      </c>
      <c r="I23" s="12">
        <f t="shared" si="2"/>
        <v>468.08158554270028</v>
      </c>
      <c r="J23" s="12">
        <f t="shared" si="2"/>
        <v>533.61300751867839</v>
      </c>
      <c r="K23" s="12">
        <f t="shared" si="2"/>
        <v>608.31882857129335</v>
      </c>
    </row>
    <row r="24" spans="1:11" ht="19.95" customHeight="1" x14ac:dyDescent="0.3">
      <c r="A24" s="14" t="s">
        <v>43</v>
      </c>
      <c r="B24" s="13">
        <f t="shared" ref="B24:K24" si="3">B20</f>
        <v>233</v>
      </c>
      <c r="C24" s="13">
        <f t="shared" si="3"/>
        <v>238.73</v>
      </c>
      <c r="D24" s="13">
        <f t="shared" si="3"/>
        <v>230.08</v>
      </c>
      <c r="E24" s="13">
        <f t="shared" si="3"/>
        <v>255.72</v>
      </c>
      <c r="F24" s="13">
        <f t="shared" si="3"/>
        <v>289.68</v>
      </c>
      <c r="G24" s="13">
        <f t="shared" si="3"/>
        <v>330.23520000000002</v>
      </c>
      <c r="H24" s="13">
        <f t="shared" si="3"/>
        <v>376.46812800000009</v>
      </c>
      <c r="I24" s="13">
        <f t="shared" si="3"/>
        <v>429.17366592000013</v>
      </c>
      <c r="J24" s="13">
        <f t="shared" si="3"/>
        <v>489.25797914880019</v>
      </c>
      <c r="K24" s="13">
        <f t="shared" si="3"/>
        <v>557.7540962296323</v>
      </c>
    </row>
    <row r="25" spans="1:11" ht="19.95" customHeight="1" x14ac:dyDescent="0.3">
      <c r="A25" s="11" t="s">
        <v>44</v>
      </c>
      <c r="B25" s="21">
        <v>16.600000000000001</v>
      </c>
      <c r="C25" s="21">
        <v>-63.24</v>
      </c>
      <c r="D25" s="21">
        <v>-82.27</v>
      </c>
      <c r="E25" s="21">
        <v>-95.82</v>
      </c>
      <c r="F25" s="21">
        <v>-108.95</v>
      </c>
      <c r="G25" s="13">
        <f>G18*$B$6</f>
        <v>120.06913200000001</v>
      </c>
      <c r="H25" s="13">
        <f>H18*$B$6</f>
        <v>136.87881048000003</v>
      </c>
      <c r="I25" s="13">
        <f>I18*$B$6</f>
        <v>156.04184394720005</v>
      </c>
      <c r="J25" s="13">
        <f>J18*$B$6</f>
        <v>177.88770209980808</v>
      </c>
      <c r="K25" s="13">
        <f>K18*$B$6</f>
        <v>202.79198039378124</v>
      </c>
    </row>
    <row r="26" spans="1:11" ht="19.95" customHeight="1" x14ac:dyDescent="0.3">
      <c r="A26" s="11" t="s">
        <v>45</v>
      </c>
      <c r="B26" s="21">
        <v>278.14999999999998</v>
      </c>
      <c r="C26" s="21">
        <v>-95.52</v>
      </c>
      <c r="D26" s="21">
        <v>-3.1</v>
      </c>
      <c r="E26" s="21">
        <v>-61.33</v>
      </c>
      <c r="F26" s="21">
        <v>-258.77</v>
      </c>
      <c r="G26" s="13">
        <f>G18*$B$7</f>
        <v>90.051849000000004</v>
      </c>
      <c r="H26" s="13">
        <f>H18*$B$7</f>
        <v>102.65910786000002</v>
      </c>
      <c r="I26" s="13">
        <f>I18*$B$7</f>
        <v>117.03138296040004</v>
      </c>
      <c r="J26" s="13">
        <f>J18*$B$7</f>
        <v>133.41577657485607</v>
      </c>
      <c r="K26" s="13">
        <f>K18*$B$7</f>
        <v>152.09398529533593</v>
      </c>
    </row>
    <row r="27" spans="1:11" ht="19.95" customHeight="1" x14ac:dyDescent="0.3">
      <c r="A27" s="11" t="s">
        <v>46</v>
      </c>
      <c r="B27" s="15"/>
      <c r="C27" s="15"/>
      <c r="D27" s="15"/>
      <c r="E27" s="15"/>
      <c r="F27" s="15"/>
      <c r="G27" s="25">
        <f>G23+G24-G25-G26</f>
        <v>480.28779975000003</v>
      </c>
      <c r="H27" s="25">
        <f>H23+H24-H25-H26</f>
        <v>547.52809171500019</v>
      </c>
      <c r="I27" s="25">
        <f>I23+I24-I25-I26</f>
        <v>624.18202455510038</v>
      </c>
      <c r="J27" s="25">
        <f>J23+J24-J25-J26</f>
        <v>711.5675079928144</v>
      </c>
      <c r="K27" s="25">
        <f>K23+K24-K25-K26</f>
        <v>811.18695911180839</v>
      </c>
    </row>
    <row r="28" spans="1:11" ht="19.95" customHeight="1" x14ac:dyDescent="0.3">
      <c r="A28" s="11" t="s">
        <v>47</v>
      </c>
      <c r="B28" s="15"/>
      <c r="C28" s="15"/>
      <c r="D28" s="15"/>
      <c r="E28" s="15"/>
      <c r="F28" s="15"/>
      <c r="G28" s="16">
        <f>1/(1+$B$8)^1</f>
        <v>0.89686098654708524</v>
      </c>
      <c r="H28" s="16">
        <f>1/(1+$B$8)^2</f>
        <v>0.80435962919021098</v>
      </c>
      <c r="I28" s="16">
        <f>1/(1+$B$8)^3</f>
        <v>0.72139877057418023</v>
      </c>
      <c r="J28" s="16">
        <f>1/(1+$B$8)^4</f>
        <v>0.64699441307101357</v>
      </c>
      <c r="K28" s="16">
        <f>1/(1+$B$8)^5</f>
        <v>0.58026404759732153</v>
      </c>
    </row>
    <row r="29" spans="1:11" ht="19.95" customHeight="1" x14ac:dyDescent="0.3">
      <c r="A29" s="11" t="s">
        <v>48</v>
      </c>
      <c r="B29" s="15"/>
      <c r="C29" s="15"/>
      <c r="D29" s="15"/>
      <c r="E29" s="15"/>
      <c r="F29" s="15"/>
      <c r="G29" s="25">
        <f>G27*G28</f>
        <v>430.75138991031395</v>
      </c>
      <c r="H29" s="25">
        <f>H27*H28</f>
        <v>440.4094928231014</v>
      </c>
      <c r="I29" s="25">
        <f>I27*I28</f>
        <v>450.28414512855221</v>
      </c>
      <c r="J29" s="25">
        <f>J27*J28</f>
        <v>460.38020219421469</v>
      </c>
      <c r="K29" s="25">
        <f>K27*K28</f>
        <v>470.70262825238092</v>
      </c>
    </row>
    <row r="30" spans="1:1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28.05" customHeight="1" x14ac:dyDescent="0.3">
      <c r="A31" s="35" t="s">
        <v>49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</row>
    <row r="32" spans="1:11" ht="19.95" customHeight="1" x14ac:dyDescent="0.3">
      <c r="A32" s="11" t="s">
        <v>50</v>
      </c>
      <c r="B32" s="13">
        <f>SUM(G29:K29)</f>
        <v>2252.5278583085628</v>
      </c>
      <c r="C32" s="32" t="s">
        <v>51</v>
      </c>
      <c r="D32" s="15"/>
      <c r="E32" s="7"/>
      <c r="F32" s="7"/>
      <c r="G32" s="7"/>
      <c r="H32" s="7"/>
      <c r="I32" s="7"/>
      <c r="J32" s="7"/>
      <c r="K32" s="7"/>
    </row>
    <row r="33" spans="1:11" ht="19.95" customHeight="1" x14ac:dyDescent="0.3">
      <c r="A33" s="11" t="s">
        <v>52</v>
      </c>
      <c r="B33" s="13">
        <f>(K27*(1+$B$9))/($B$8-$B$9)</f>
        <v>11248.459166350407</v>
      </c>
      <c r="C33" s="32" t="s">
        <v>53</v>
      </c>
      <c r="D33" s="15"/>
      <c r="E33" s="7"/>
      <c r="F33" s="7"/>
      <c r="G33" s="7"/>
      <c r="H33" s="7"/>
      <c r="I33" s="7"/>
      <c r="J33" s="7"/>
      <c r="K33" s="7"/>
    </row>
    <row r="34" spans="1:11" ht="19.95" customHeight="1" x14ac:dyDescent="0.3">
      <c r="A34" s="11" t="s">
        <v>54</v>
      </c>
      <c r="B34" s="13">
        <f>B33*K28</f>
        <v>6527.0764450996803</v>
      </c>
      <c r="C34" s="32" t="s">
        <v>55</v>
      </c>
      <c r="D34" s="15"/>
      <c r="E34" s="7"/>
      <c r="F34" s="7"/>
      <c r="G34" s="7"/>
      <c r="H34" s="7"/>
      <c r="I34" s="7"/>
      <c r="J34" s="7"/>
      <c r="K34" s="7"/>
    </row>
    <row r="35" spans="1:11" ht="19.95" customHeight="1" x14ac:dyDescent="0.3">
      <c r="A35" s="11" t="s">
        <v>56</v>
      </c>
      <c r="B35" s="12">
        <f>B32+B34</f>
        <v>8779.6043034082431</v>
      </c>
      <c r="C35" s="32" t="s">
        <v>57</v>
      </c>
      <c r="D35" s="15"/>
      <c r="E35" s="7"/>
      <c r="F35" s="7"/>
      <c r="G35" s="7"/>
      <c r="H35" s="7"/>
      <c r="I35" s="7"/>
      <c r="J35" s="7"/>
      <c r="K35" s="7"/>
    </row>
    <row r="36" spans="1:11" ht="19.95" customHeight="1" x14ac:dyDescent="0.3">
      <c r="A36" s="11" t="s">
        <v>58</v>
      </c>
      <c r="B36" s="13">
        <f>B11</f>
        <v>52.8</v>
      </c>
      <c r="C36" s="32" t="s">
        <v>59</v>
      </c>
      <c r="D36" s="15"/>
      <c r="E36" s="7"/>
      <c r="F36" s="7"/>
      <c r="G36" s="7"/>
      <c r="H36" s="7"/>
      <c r="I36" s="7"/>
      <c r="J36" s="7"/>
      <c r="K36" s="7"/>
    </row>
    <row r="37" spans="1:11" ht="19.95" customHeight="1" x14ac:dyDescent="0.3">
      <c r="A37" s="11" t="s">
        <v>60</v>
      </c>
      <c r="B37" s="13">
        <f>B12</f>
        <v>531.29999999999995</v>
      </c>
      <c r="C37" s="32" t="s">
        <v>61</v>
      </c>
      <c r="D37" s="15"/>
      <c r="E37" s="7"/>
      <c r="F37" s="7"/>
      <c r="G37" s="7"/>
      <c r="H37" s="7"/>
      <c r="I37" s="7"/>
      <c r="J37" s="7"/>
      <c r="K37" s="7"/>
    </row>
    <row r="38" spans="1:11" ht="19.95" customHeight="1" x14ac:dyDescent="0.3">
      <c r="A38" s="11" t="s">
        <v>62</v>
      </c>
      <c r="B38" s="12">
        <f>B35+B36-B37</f>
        <v>8301.1043034082431</v>
      </c>
      <c r="C38" s="32" t="s">
        <v>63</v>
      </c>
      <c r="D38" s="15"/>
      <c r="E38" s="7"/>
      <c r="F38" s="7"/>
      <c r="G38" s="7"/>
      <c r="H38" s="7"/>
      <c r="I38" s="7"/>
      <c r="J38" s="7"/>
      <c r="K38" s="7"/>
    </row>
    <row r="39" spans="1:11" ht="19.95" customHeight="1" x14ac:dyDescent="0.3">
      <c r="A39" s="11" t="s">
        <v>21</v>
      </c>
      <c r="B39" s="13">
        <f>B13</f>
        <v>13.365</v>
      </c>
      <c r="C39" s="32" t="s">
        <v>64</v>
      </c>
      <c r="D39" s="15"/>
      <c r="E39" s="7"/>
      <c r="F39" s="7"/>
      <c r="G39" s="7"/>
      <c r="H39" s="7"/>
      <c r="I39" s="7"/>
      <c r="J39" s="7"/>
      <c r="K39" s="7"/>
    </row>
    <row r="40" spans="1:11" ht="19.95" customHeight="1" x14ac:dyDescent="0.3">
      <c r="A40" s="11" t="s">
        <v>65</v>
      </c>
      <c r="B40" s="22">
        <f>B38/B39</f>
        <v>621.10769198714877</v>
      </c>
      <c r="C40" s="32" t="s">
        <v>66</v>
      </c>
      <c r="D40" s="15"/>
      <c r="E40" s="7"/>
      <c r="F40" s="7"/>
      <c r="G40" s="7"/>
      <c r="H40" s="7"/>
      <c r="I40" s="7"/>
      <c r="J40" s="7"/>
      <c r="K40" s="7"/>
    </row>
    <row r="41" spans="1:11" ht="19.95" customHeight="1" x14ac:dyDescent="0.3">
      <c r="A41" s="11" t="s">
        <v>67</v>
      </c>
      <c r="B41" s="23">
        <f>B14</f>
        <v>426</v>
      </c>
      <c r="C41" s="32" t="s">
        <v>68</v>
      </c>
      <c r="D41" s="15"/>
      <c r="E41" s="7"/>
      <c r="F41" s="7"/>
      <c r="G41" s="7"/>
      <c r="H41" s="7"/>
      <c r="I41" s="7"/>
      <c r="J41" s="7"/>
      <c r="K41" s="7"/>
    </row>
    <row r="42" spans="1:11" ht="19.95" customHeight="1" x14ac:dyDescent="0.3">
      <c r="A42" s="11" t="s">
        <v>69</v>
      </c>
      <c r="B42" s="24">
        <f>(B40/B41)-1</f>
        <v>0.45799927696513798</v>
      </c>
      <c r="C42" s="32" t="s">
        <v>70</v>
      </c>
      <c r="D42" s="15"/>
      <c r="E42" s="7"/>
      <c r="F42" s="7"/>
      <c r="G42" s="7"/>
      <c r="H42" s="7"/>
      <c r="I42" s="7"/>
      <c r="J42" s="7"/>
      <c r="K42" s="7"/>
    </row>
    <row r="43" spans="1:1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t="28.05" customHeight="1" x14ac:dyDescent="0.3"/>
  </sheetData>
  <mergeCells count="4">
    <mergeCell ref="A16:K16"/>
    <mergeCell ref="A3:K3"/>
    <mergeCell ref="A1:K1"/>
    <mergeCell ref="A31:K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tabSelected="1" topLeftCell="A2" workbookViewId="0">
      <selection activeCell="D5" sqref="D5"/>
    </sheetView>
  </sheetViews>
  <sheetFormatPr defaultRowHeight="14.4" x14ac:dyDescent="0.3"/>
  <cols>
    <col min="1" max="1" width="30" customWidth="1"/>
    <col min="2" max="2" width="15" customWidth="1"/>
    <col min="3" max="3" width="40" customWidth="1"/>
    <col min="4" max="4" width="50" customWidth="1"/>
    <col min="7" max="7" width="11.5546875" bestFit="1" customWidth="1"/>
  </cols>
  <sheetData>
    <row r="1" spans="1:7" x14ac:dyDescent="0.3">
      <c r="A1" s="26" t="s">
        <v>88</v>
      </c>
      <c r="B1" s="26" t="s">
        <v>89</v>
      </c>
      <c r="C1" s="26" t="s">
        <v>90</v>
      </c>
      <c r="D1" s="26" t="s">
        <v>91</v>
      </c>
    </row>
    <row r="2" spans="1:7" ht="28.8" x14ac:dyDescent="0.3">
      <c r="A2" s="28" t="s">
        <v>92</v>
      </c>
      <c r="B2" s="29">
        <f>(('DCF Model'!F18/'DCF Model'!B18)^(1/4))-1</f>
        <v>0.14573550723854223</v>
      </c>
      <c r="C2" s="27" t="s">
        <v>116</v>
      </c>
      <c r="D2" s="27" t="s">
        <v>117</v>
      </c>
    </row>
    <row r="3" spans="1:7" ht="43.2" x14ac:dyDescent="0.3">
      <c r="A3" s="28" t="s">
        <v>5</v>
      </c>
      <c r="B3" s="27" t="s">
        <v>93</v>
      </c>
      <c r="C3" s="27" t="s">
        <v>94</v>
      </c>
      <c r="D3" s="27" t="s">
        <v>118</v>
      </c>
    </row>
    <row r="4" spans="1:7" ht="72" x14ac:dyDescent="0.3">
      <c r="A4" s="28" t="s">
        <v>7</v>
      </c>
      <c r="B4" s="27" t="s">
        <v>95</v>
      </c>
      <c r="C4" s="27" t="s">
        <v>119</v>
      </c>
      <c r="D4" s="27" t="s">
        <v>120</v>
      </c>
    </row>
    <row r="5" spans="1:7" ht="43.2" x14ac:dyDescent="0.3">
      <c r="A5" s="28" t="s">
        <v>96</v>
      </c>
      <c r="B5" s="27" t="s">
        <v>97</v>
      </c>
      <c r="C5" s="27" t="s">
        <v>98</v>
      </c>
      <c r="D5" s="27" t="s">
        <v>126</v>
      </c>
      <c r="G5" s="30"/>
    </row>
    <row r="6" spans="1:7" ht="28.8" x14ac:dyDescent="0.3">
      <c r="A6" s="28" t="s">
        <v>11</v>
      </c>
      <c r="B6" s="27" t="s">
        <v>99</v>
      </c>
      <c r="C6" s="27" t="s">
        <v>100</v>
      </c>
      <c r="D6" s="27" t="s">
        <v>121</v>
      </c>
    </row>
    <row r="7" spans="1:7" ht="43.2" x14ac:dyDescent="0.3">
      <c r="A7" s="28" t="s">
        <v>13</v>
      </c>
      <c r="B7" s="27" t="s">
        <v>101</v>
      </c>
      <c r="C7" s="27" t="s">
        <v>102</v>
      </c>
      <c r="D7" s="27" t="s">
        <v>103</v>
      </c>
    </row>
    <row r="8" spans="1:7" ht="28.8" x14ac:dyDescent="0.3">
      <c r="A8" s="28" t="s">
        <v>15</v>
      </c>
      <c r="B8" s="27" t="s">
        <v>104</v>
      </c>
      <c r="C8" s="27" t="s">
        <v>105</v>
      </c>
      <c r="D8" s="27" t="s">
        <v>123</v>
      </c>
    </row>
    <row r="9" spans="1:7" ht="28.8" x14ac:dyDescent="0.3">
      <c r="A9" s="28" t="s">
        <v>106</v>
      </c>
      <c r="B9" s="27" t="s">
        <v>107</v>
      </c>
      <c r="C9" s="27" t="s">
        <v>108</v>
      </c>
      <c r="D9" s="27" t="s">
        <v>122</v>
      </c>
    </row>
    <row r="10" spans="1:7" ht="28.8" x14ac:dyDescent="0.3">
      <c r="A10" s="28" t="s">
        <v>109</v>
      </c>
      <c r="B10" s="27" t="s">
        <v>110</v>
      </c>
      <c r="C10" s="27" t="s">
        <v>108</v>
      </c>
      <c r="D10" s="27" t="s">
        <v>124</v>
      </c>
    </row>
    <row r="11" spans="1:7" ht="28.8" x14ac:dyDescent="0.3">
      <c r="A11" s="28" t="s">
        <v>111</v>
      </c>
      <c r="B11" s="27" t="s">
        <v>112</v>
      </c>
      <c r="C11" s="27" t="s">
        <v>113</v>
      </c>
      <c r="D11" s="27" t="s">
        <v>125</v>
      </c>
    </row>
    <row r="12" spans="1:7" ht="28.8" x14ac:dyDescent="0.3">
      <c r="A12" s="28" t="s">
        <v>23</v>
      </c>
      <c r="B12" s="40">
        <v>426</v>
      </c>
      <c r="C12" s="27" t="s">
        <v>114</v>
      </c>
      <c r="D12" s="27" t="s">
        <v>115</v>
      </c>
      <c r="E12" s="41">
        <v>46283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DCF Model</vt:lpstr>
      <vt:lpstr>Assumption_Calculations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mageshsai10@outlook.com</cp:lastModifiedBy>
  <dcterms:created xsi:type="dcterms:W3CDTF">2026-08-26T18:30:24Z</dcterms:created>
  <dcterms:modified xsi:type="dcterms:W3CDTF">2026-09-18T00:35:11Z</dcterms:modified>
</cp:coreProperties>
</file>